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F:\Download\"/>
    </mc:Choice>
  </mc:AlternateContent>
  <xr:revisionPtr revIDLastSave="0" documentId="13_ncr:1_{BC86EC5E-5CB0-4A6B-96E7-B97E7C1017AE}" xr6:coauthVersionLast="47" xr6:coauthVersionMax="47" xr10:uidLastSave="{00000000-0000-0000-0000-000000000000}"/>
  <bookViews>
    <workbookView xWindow="12620" yWindow="0" windowWidth="12980" windowHeight="15280" firstSheet="3" activeTab="4" xr2:uid="{00000000-000D-0000-FFFF-FFFF00000000}"/>
  </bookViews>
  <sheets>
    <sheet name="Case Business" sheetId="1" r:id="rId1"/>
    <sheet name="Question 1.1" sheetId="3" r:id="rId2"/>
    <sheet name="Question 1.2" sheetId="7" r:id="rId3"/>
    <sheet name="Question 1.3" sheetId="8" r:id="rId4"/>
    <sheet name="Question 1.4" sheetId="9" r:id="rId5"/>
  </sheets>
  <externalReferences>
    <externalReference r:id="rId6"/>
  </externalReferences>
  <definedNames>
    <definedName name="Contracts_Available">'[1]Case Study 5'!$H$14:$H$16</definedName>
    <definedName name="Contracts_available2">'[1]Case Study 7'!$H$14:$H$16</definedName>
    <definedName name="Contracts_required">'[1]Case Study 5'!$B$19:$E$19</definedName>
    <definedName name="Contracts_required2">'[1]Case Study 7'!$B$19:$E$19</definedName>
    <definedName name="Maximum_face_masks">'[1]Case Study 7'!$B$24:$E$24</definedName>
    <definedName name="Minimum_face_masks">'[1]Case Study 7'!$B$23:$E$23</definedName>
    <definedName name="solver_adj" localSheetId="1" hidden="1">'Question 1.1'!$B$21:$E$25</definedName>
    <definedName name="solver_adj" localSheetId="2" hidden="1">'Question 1.2'!$B$22:$E$26</definedName>
    <definedName name="solver_adj" localSheetId="3" hidden="1">'Question 1.3'!$B$22:$E$26</definedName>
    <definedName name="solver_adj" localSheetId="4" hidden="1">'Question 1.4'!$B$23:$E$27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eng" localSheetId="0" hidden="1">1</definedName>
    <definedName name="solver_eng" localSheetId="1" hidden="1">1</definedName>
    <definedName name="solver_eng" localSheetId="2" hidden="1">3</definedName>
    <definedName name="solver_eng" localSheetId="3" hidden="1">1</definedName>
    <definedName name="solver_eng" localSheetId="4" hidden="1">3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lhs0" localSheetId="1" hidden="1">'Question 1.1'!$B$26</definedName>
    <definedName name="solver_lhs0" localSheetId="2" hidden="1">'Question 1.2'!$B$27</definedName>
    <definedName name="solver_lhs0" localSheetId="3" hidden="1">'Question 1.3'!$G$26</definedName>
    <definedName name="solver_lhs0" localSheetId="4" hidden="1">'Question 1.4'!$B$28</definedName>
    <definedName name="solver_lhs1" localSheetId="1" hidden="1">'Question 1.1'!$B$21:$E$25</definedName>
    <definedName name="solver_lhs1" localSheetId="2" hidden="1">'Question 1.2'!$B$22:$E$26</definedName>
    <definedName name="solver_lhs1" localSheetId="3" hidden="1">'Question 1.3'!$B$27</definedName>
    <definedName name="solver_lhs1" localSheetId="4" hidden="1">'Question 1.4'!$B$23:$E$27</definedName>
    <definedName name="solver_lhs10" localSheetId="1" hidden="1">'Question 1.1'!$G$25</definedName>
    <definedName name="solver_lhs10" localSheetId="2" hidden="1">'Question 1.2'!$G$25</definedName>
    <definedName name="solver_lhs10" localSheetId="3" hidden="1">'Question 1.3'!$G$25</definedName>
    <definedName name="solver_lhs10" localSheetId="4" hidden="1">'Question 1.4'!$G$25</definedName>
    <definedName name="solver_lhs11" localSheetId="1" hidden="1">'Question 1.1'!$B$26</definedName>
    <definedName name="solver_lhs11" localSheetId="2" hidden="1">'Question 1.2'!$G$26</definedName>
    <definedName name="solver_lhs11" localSheetId="3" hidden="1">'Question 1.3'!$G$26</definedName>
    <definedName name="solver_lhs11" localSheetId="4" hidden="1">'Question 1.4'!$G$26</definedName>
    <definedName name="solver_lhs12" localSheetId="1" hidden="1">'Question 1.1'!$I$20</definedName>
    <definedName name="solver_lhs12" localSheetId="2" hidden="1">'Question 1.2'!$I$21</definedName>
    <definedName name="solver_lhs12" localSheetId="3" hidden="1">'Question 1.3'!$I$21</definedName>
    <definedName name="solver_lhs12" localSheetId="4" hidden="1">'Question 1.4'!$G$27</definedName>
    <definedName name="solver_lhs13" localSheetId="1" hidden="1">'Question 1.1'!#REF!</definedName>
    <definedName name="solver_lhs13" localSheetId="2" hidden="1">'Question 1.2'!#REF!</definedName>
    <definedName name="solver_lhs13" localSheetId="3" hidden="1">'Question 1.3'!#REF!</definedName>
    <definedName name="solver_lhs13" localSheetId="4" hidden="1">'Question 1.4'!#REF!</definedName>
    <definedName name="solver_lhs2" localSheetId="1" hidden="1">'Question 1.1'!$B$26</definedName>
    <definedName name="solver_lhs2" localSheetId="2" hidden="1">'Question 1.2'!$B$27</definedName>
    <definedName name="solver_lhs2" localSheetId="3" hidden="1">'Question 1.3'!$B$22:$E$26</definedName>
    <definedName name="solver_lhs2" localSheetId="4" hidden="1">'Question 1.4'!$B$28</definedName>
    <definedName name="solver_lhs3" localSheetId="1" hidden="1">'Question 1.1'!$C$26</definedName>
    <definedName name="solver_lhs3" localSheetId="2" hidden="1">'Question 1.2'!$B$31:$E$31</definedName>
    <definedName name="solver_lhs3" localSheetId="3" hidden="1">'Question 1.3'!$B$30</definedName>
    <definedName name="solver_lhs3" localSheetId="4" hidden="1">'Question 1.4'!$B$32:$E$32</definedName>
    <definedName name="solver_lhs4" localSheetId="1" hidden="1">'Question 1.1'!$D$26</definedName>
    <definedName name="solver_lhs4" localSheetId="2" hidden="1">'Question 1.2'!$C$27</definedName>
    <definedName name="solver_lhs4" localSheetId="3" hidden="1">'Question 1.3'!$C$27</definedName>
    <definedName name="solver_lhs4" localSheetId="4" hidden="1">'Question 1.4'!$B$34</definedName>
    <definedName name="solver_lhs5" localSheetId="1" hidden="1">'Question 1.1'!$E$26</definedName>
    <definedName name="solver_lhs5" localSheetId="2" hidden="1">'Question 1.2'!$D$27</definedName>
    <definedName name="solver_lhs5" localSheetId="3" hidden="1">'Question 1.3'!$D$27</definedName>
    <definedName name="solver_lhs5" localSheetId="4" hidden="1">'Question 1.4'!$C$28</definedName>
    <definedName name="solver_lhs6" localSheetId="1" hidden="1">'Question 1.1'!$G$21</definedName>
    <definedName name="solver_lhs6" localSheetId="2" hidden="1">'Question 1.2'!$E$27</definedName>
    <definedName name="solver_lhs6" localSheetId="3" hidden="1">'Question 1.3'!$E$27</definedName>
    <definedName name="solver_lhs6" localSheetId="4" hidden="1">'Question 1.4'!$D$28</definedName>
    <definedName name="solver_lhs7" localSheetId="1" hidden="1">'Question 1.1'!$G$22</definedName>
    <definedName name="solver_lhs7" localSheetId="2" hidden="1">'Question 1.2'!$G$22</definedName>
    <definedName name="solver_lhs7" localSheetId="3" hidden="1">'Question 1.3'!$G$22</definedName>
    <definedName name="solver_lhs7" localSheetId="4" hidden="1">'Question 1.4'!$E$28</definedName>
    <definedName name="solver_lhs8" localSheetId="1" hidden="1">'Question 1.1'!$G$23</definedName>
    <definedName name="solver_lhs8" localSheetId="2" hidden="1">'Question 1.2'!$G$23</definedName>
    <definedName name="solver_lhs8" localSheetId="3" hidden="1">'Question 1.3'!$G$23</definedName>
    <definedName name="solver_lhs8" localSheetId="4" hidden="1">'Question 1.4'!$G$23</definedName>
    <definedName name="solver_lhs9" localSheetId="1" hidden="1">'Question 1.1'!$G$24</definedName>
    <definedName name="solver_lhs9" localSheetId="2" hidden="1">'Question 1.2'!$G$24</definedName>
    <definedName name="solver_lhs9" localSheetId="3" hidden="1">'Question 1.3'!$G$24</definedName>
    <definedName name="solver_lhs9" localSheetId="4" hidden="1">'Question 1.4'!$G$24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um" localSheetId="0" hidden="1">0</definedName>
    <definedName name="solver_num" localSheetId="1" hidden="1">10</definedName>
    <definedName name="solver_num" localSheetId="2" hidden="1">11</definedName>
    <definedName name="solver_num" localSheetId="3" hidden="1">11</definedName>
    <definedName name="solver_num" localSheetId="4" hidden="1">12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opt" localSheetId="1" hidden="1">'Question 1.1'!$B$29</definedName>
    <definedName name="solver_opt" localSheetId="2" hidden="1">'Question 1.2'!$B$33</definedName>
    <definedName name="solver_opt" localSheetId="3" hidden="1">'Question 1.3'!$B$32</definedName>
    <definedName name="solver_opt" localSheetId="4" hidden="1">'Question 1.4'!$B$36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rbv" localSheetId="1" hidden="1">2</definedName>
    <definedName name="solver_rbv" localSheetId="2" hidden="1">2</definedName>
    <definedName name="solver_rbv" localSheetId="3" hidden="1">2</definedName>
    <definedName name="solver_rbv" localSheetId="4" hidden="1">2</definedName>
    <definedName name="solver_rel0" localSheetId="1" hidden="1">2</definedName>
    <definedName name="solver_rel0" localSheetId="2" hidden="1">2</definedName>
    <definedName name="solver_rel0" localSheetId="3" hidden="1">1</definedName>
    <definedName name="solver_rel0" localSheetId="4" hidden="1">2</definedName>
    <definedName name="solver_rel1" localSheetId="1" hidden="1">4</definedName>
    <definedName name="solver_rel1" localSheetId="2" hidden="1">4</definedName>
    <definedName name="solver_rel1" localSheetId="3" hidden="1">2</definedName>
    <definedName name="solver_rel1" localSheetId="4" hidden="1">4</definedName>
    <definedName name="solver_rel10" localSheetId="1" hidden="1">1</definedName>
    <definedName name="solver_rel10" localSheetId="2" hidden="1">1</definedName>
    <definedName name="solver_rel10" localSheetId="3" hidden="1">1</definedName>
    <definedName name="solver_rel10" localSheetId="4" hidden="1">1</definedName>
    <definedName name="solver_rel11" localSheetId="1" hidden="1">2</definedName>
    <definedName name="solver_rel11" localSheetId="2" hidden="1">1</definedName>
    <definedName name="solver_rel11" localSheetId="3" hidden="1">1</definedName>
    <definedName name="solver_rel11" localSheetId="4" hidden="1">1</definedName>
    <definedName name="solver_rel12" localSheetId="1" hidden="1">2</definedName>
    <definedName name="solver_rel12" localSheetId="2" hidden="1">2</definedName>
    <definedName name="solver_rel12" localSheetId="3" hidden="1">2</definedName>
    <definedName name="solver_rel12" localSheetId="4" hidden="1">1</definedName>
    <definedName name="solver_rel13" localSheetId="1" hidden="1">1</definedName>
    <definedName name="solver_rel13" localSheetId="2" hidden="1">1</definedName>
    <definedName name="solver_rel13" localSheetId="3" hidden="1">1</definedName>
    <definedName name="solver_rel13" localSheetId="4" hidden="1">1</definedName>
    <definedName name="solver_rel2" localSheetId="1" hidden="1">2</definedName>
    <definedName name="solver_rel2" localSheetId="2" hidden="1">2</definedName>
    <definedName name="solver_rel2" localSheetId="3" hidden="1">4</definedName>
    <definedName name="solver_rel2" localSheetId="4" hidden="1">2</definedName>
    <definedName name="solver_rel3" localSheetId="1" hidden="1">2</definedName>
    <definedName name="solver_rel3" localSheetId="2" hidden="1">2</definedName>
    <definedName name="solver_rel3" localSheetId="3" hidden="1">2</definedName>
    <definedName name="solver_rel3" localSheetId="4" hidden="1">2</definedName>
    <definedName name="solver_rel4" localSheetId="1" hidden="1">2</definedName>
    <definedName name="solver_rel4" localSheetId="2" hidden="1">2</definedName>
    <definedName name="solver_rel4" localSheetId="3" hidden="1">2</definedName>
    <definedName name="solver_rel4" localSheetId="4" hidden="1">2</definedName>
    <definedName name="solver_rel5" localSheetId="1" hidden="1">2</definedName>
    <definedName name="solver_rel5" localSheetId="2" hidden="1">2</definedName>
    <definedName name="solver_rel5" localSheetId="3" hidden="1">2</definedName>
    <definedName name="solver_rel5" localSheetId="4" hidden="1">2</definedName>
    <definedName name="solver_rel6" localSheetId="1" hidden="1">1</definedName>
    <definedName name="solver_rel6" localSheetId="2" hidden="1">2</definedName>
    <definedName name="solver_rel6" localSheetId="3" hidden="1">2</definedName>
    <definedName name="solver_rel6" localSheetId="4" hidden="1">2</definedName>
    <definedName name="solver_rel7" localSheetId="1" hidden="1">1</definedName>
    <definedName name="solver_rel7" localSheetId="2" hidden="1">1</definedName>
    <definedName name="solver_rel7" localSheetId="3" hidden="1">1</definedName>
    <definedName name="solver_rel7" localSheetId="4" hidden="1">2</definedName>
    <definedName name="solver_rel8" localSheetId="1" hidden="1">1</definedName>
    <definedName name="solver_rel8" localSheetId="2" hidden="1">1</definedName>
    <definedName name="solver_rel8" localSheetId="3" hidden="1">1</definedName>
    <definedName name="solver_rel8" localSheetId="4" hidden="1">1</definedName>
    <definedName name="solver_rel9" localSheetId="1" hidden="1">1</definedName>
    <definedName name="solver_rel9" localSheetId="2" hidden="1">1</definedName>
    <definedName name="solver_rel9" localSheetId="3" hidden="1">1</definedName>
    <definedName name="solver_rel9" localSheetId="4" hidden="1">1</definedName>
    <definedName name="solver_rhs0" localSheetId="1" hidden="1">'Question 1.1'!$B$14</definedName>
    <definedName name="solver_rhs0" localSheetId="2" hidden="1">'Question 1.2'!$B$15</definedName>
    <definedName name="solver_rhs0" localSheetId="3" hidden="1">'Question 1.3'!$F$18</definedName>
    <definedName name="solver_rhs0" localSheetId="4" hidden="1">'Question 1.4'!$B$16</definedName>
    <definedName name="solver_rhs1" localSheetId="1" hidden="1">"integer"</definedName>
    <definedName name="solver_rhs1" localSheetId="2" hidden="1">"integer"</definedName>
    <definedName name="solver_rhs1" localSheetId="3" hidden="1">'Question 1.3'!$B$15</definedName>
    <definedName name="solver_rhs1" localSheetId="4" hidden="1">"integer"</definedName>
    <definedName name="solver_rhs10" localSheetId="1" hidden="1">'Question 1.1'!$F$17</definedName>
    <definedName name="solver_rhs10" localSheetId="2" hidden="1">'Question 1.2'!$E$18</definedName>
    <definedName name="solver_rhs10" localSheetId="3" hidden="1">'Question 1.3'!$E$18</definedName>
    <definedName name="solver_rhs10" localSheetId="4" hidden="1">'Question 1.4'!$D$19</definedName>
    <definedName name="solver_rhs11" localSheetId="1" hidden="1">'Question 1.1'!$B$14</definedName>
    <definedName name="solver_rhs11" localSheetId="2" hidden="1">'Question 1.2'!$F$18</definedName>
    <definedName name="solver_rhs11" localSheetId="3" hidden="1">'Question 1.3'!$F$18</definedName>
    <definedName name="solver_rhs11" localSheetId="4" hidden="1">'Question 1.4'!$E$19</definedName>
    <definedName name="solver_rhs12" localSheetId="1" hidden="1">0</definedName>
    <definedName name="solver_rhs12" localSheetId="2" hidden="1">0</definedName>
    <definedName name="solver_rhs12" localSheetId="3" hidden="1">0</definedName>
    <definedName name="solver_rhs12" localSheetId="4" hidden="1">'Question 1.4'!$F$19</definedName>
    <definedName name="solver_rhs13" localSheetId="1" hidden="1">'Question 1.1'!$F$17</definedName>
    <definedName name="solver_rhs13" localSheetId="2" hidden="1">'Question 1.2'!$F$18</definedName>
    <definedName name="solver_rhs13" localSheetId="3" hidden="1">'Question 1.3'!$F$18</definedName>
    <definedName name="solver_rhs13" localSheetId="4" hidden="1">'Question 1.4'!$F$19</definedName>
    <definedName name="solver_rhs2" localSheetId="1" hidden="1">'Question 1.1'!$B$14</definedName>
    <definedName name="solver_rhs2" localSheetId="2" hidden="1">'Question 1.2'!$B$15</definedName>
    <definedName name="solver_rhs2" localSheetId="3" hidden="1">"integer"</definedName>
    <definedName name="solver_rhs2" localSheetId="4" hidden="1">'Question 1.4'!$B$16</definedName>
    <definedName name="solver_rhs3" localSheetId="1" hidden="1">'Question 1.1'!$C$14</definedName>
    <definedName name="solver_rhs3" localSheetId="2" hidden="1">1</definedName>
    <definedName name="solver_rhs3" localSheetId="3" hidden="1">0</definedName>
    <definedName name="solver_rhs3" localSheetId="4" hidden="1">1</definedName>
    <definedName name="solver_rhs4" localSheetId="1" hidden="1">'Question 1.1'!$D$14</definedName>
    <definedName name="solver_rhs4" localSheetId="2" hidden="1">'Question 1.2'!$C$15</definedName>
    <definedName name="solver_rhs4" localSheetId="3" hidden="1">'Question 1.3'!$C$15</definedName>
    <definedName name="solver_rhs4" localSheetId="4" hidden="1">0</definedName>
    <definedName name="solver_rhs5" localSheetId="1" hidden="1">'Question 1.1'!$E$14</definedName>
    <definedName name="solver_rhs5" localSheetId="2" hidden="1">'Question 1.2'!$D$15</definedName>
    <definedName name="solver_rhs5" localSheetId="3" hidden="1">'Question 1.3'!$D$15</definedName>
    <definedName name="solver_rhs5" localSheetId="4" hidden="1">'Question 1.4'!$C$16</definedName>
    <definedName name="solver_rhs6" localSheetId="1" hidden="1">'Question 1.1'!$B$17</definedName>
    <definedName name="solver_rhs6" localSheetId="2" hidden="1">'Question 1.2'!$E$15</definedName>
    <definedName name="solver_rhs6" localSheetId="3" hidden="1">'Question 1.3'!$E$15</definedName>
    <definedName name="solver_rhs6" localSheetId="4" hidden="1">'Question 1.4'!$D$16</definedName>
    <definedName name="solver_rhs7" localSheetId="1" hidden="1">'Question 1.1'!$C$17</definedName>
    <definedName name="solver_rhs7" localSheetId="2" hidden="1">'Question 1.2'!$B$18</definedName>
    <definedName name="solver_rhs7" localSheetId="3" hidden="1">'Question 1.3'!$B$18</definedName>
    <definedName name="solver_rhs7" localSheetId="4" hidden="1">'Question 1.4'!$E$16</definedName>
    <definedName name="solver_rhs8" localSheetId="1" hidden="1">'Question 1.1'!$D$17</definedName>
    <definedName name="solver_rhs8" localSheetId="2" hidden="1">'Question 1.2'!$C$18</definedName>
    <definedName name="solver_rhs8" localSheetId="3" hidden="1">'Question 1.3'!$C$18</definedName>
    <definedName name="solver_rhs8" localSheetId="4" hidden="1">'Question 1.4'!$B$19</definedName>
    <definedName name="solver_rhs9" localSheetId="1" hidden="1">'Question 1.1'!$E$17</definedName>
    <definedName name="solver_rhs9" localSheetId="2" hidden="1">'Question 1.2'!$D$18</definedName>
    <definedName name="solver_rhs9" localSheetId="3" hidden="1">'Question 1.3'!$D$18</definedName>
    <definedName name="solver_rhs9" localSheetId="4" hidden="1">'Question 1.4'!$C$19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scl" localSheetId="1" hidden="1">2</definedName>
    <definedName name="solver_scl" localSheetId="2" hidden="1">2</definedName>
    <definedName name="solver_scl" localSheetId="3" hidden="1">2</definedName>
    <definedName name="solver_scl" localSheetId="4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sz" localSheetId="1" hidden="1">0</definedName>
    <definedName name="solver_ssz" localSheetId="2" hidden="1">0</definedName>
    <definedName name="solver_ssz" localSheetId="3" hidden="1">0</definedName>
    <definedName name="solver_ssz" localSheetId="4" hidden="1">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yp" localSheetId="0" hidden="1">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58Tt168w9427JNDrA50Sp0U/JuETBqkTB9crJa3XTHo="/>
    </ext>
  </extLst>
</workbook>
</file>

<file path=xl/calcChain.xml><?xml version="1.0" encoding="utf-8"?>
<calcChain xmlns="http://schemas.openxmlformats.org/spreadsheetml/2006/main">
  <c r="E32" i="9" l="1"/>
  <c r="D32" i="9"/>
  <c r="C32" i="9"/>
  <c r="B32" i="9"/>
  <c r="E29" i="9"/>
  <c r="D29" i="9"/>
  <c r="C29" i="9"/>
  <c r="B29" i="9"/>
  <c r="E28" i="9"/>
  <c r="D28" i="9"/>
  <c r="C28" i="9"/>
  <c r="B28" i="9"/>
  <c r="G27" i="9"/>
  <c r="G26" i="9"/>
  <c r="G25" i="9"/>
  <c r="G24" i="9"/>
  <c r="B34" i="9" s="1"/>
  <c r="G23" i="9"/>
  <c r="E28" i="8"/>
  <c r="D28" i="8"/>
  <c r="C28" i="8"/>
  <c r="B28" i="8"/>
  <c r="E27" i="8"/>
  <c r="D27" i="8"/>
  <c r="C27" i="8"/>
  <c r="B27" i="8"/>
  <c r="G26" i="8"/>
  <c r="G25" i="8"/>
  <c r="G24" i="8"/>
  <c r="G23" i="8"/>
  <c r="B30" i="8" s="1"/>
  <c r="G22" i="8"/>
  <c r="B31" i="7"/>
  <c r="E31" i="7"/>
  <c r="D31" i="7"/>
  <c r="C31" i="7"/>
  <c r="E28" i="7"/>
  <c r="D28" i="7"/>
  <c r="C28" i="7"/>
  <c r="B28" i="7"/>
  <c r="E27" i="7"/>
  <c r="D27" i="7"/>
  <c r="C27" i="7"/>
  <c r="B27" i="7"/>
  <c r="G26" i="7"/>
  <c r="G25" i="7"/>
  <c r="G24" i="7"/>
  <c r="G23" i="7"/>
  <c r="G22" i="7"/>
  <c r="B27" i="3"/>
  <c r="G22" i="3"/>
  <c r="G23" i="3"/>
  <c r="G24" i="3"/>
  <c r="G25" i="3"/>
  <c r="G21" i="3"/>
  <c r="C27" i="3"/>
  <c r="C26" i="3"/>
  <c r="D26" i="3"/>
  <c r="E26" i="3"/>
  <c r="B26" i="3"/>
  <c r="D27" i="3"/>
  <c r="E27" i="3"/>
  <c r="B36" i="9" l="1"/>
  <c r="B32" i="8"/>
  <c r="B33" i="7"/>
  <c r="B29" i="3"/>
</calcChain>
</file>

<file path=xl/sharedStrings.xml><?xml version="1.0" encoding="utf-8"?>
<sst xmlns="http://schemas.openxmlformats.org/spreadsheetml/2006/main" count="212" uniqueCount="35">
  <si>
    <t>ĐỀ BÀI:</t>
  </si>
  <si>
    <t>Công ty TNHH ERX Việt Nam có 04 trung tâm đào tạo đặt tại 04 thành tỉnh thành là Hồ Chí Minh, Hà Nội, Đà Nẵng và Hải Phòng.</t>
  </si>
  <si>
    <r>
      <rPr>
        <b/>
        <sz val="11"/>
        <color theme="1"/>
        <rFont val="Calibri"/>
        <family val="2"/>
      </rPr>
      <t>Tính toán số lượng khẩu trang/thùng (1000 cái/thùng) cho từng Nhà sản xuất ứng với từng Trung tâm đào tạo:</t>
    </r>
    <r>
      <rPr>
        <sz val="11"/>
        <color theme="1"/>
        <rFont val="Calibri"/>
        <family val="2"/>
      </rPr>
      <t xml:space="preserve">
</t>
    </r>
    <r>
      <rPr>
        <b/>
        <u/>
        <sz val="11"/>
        <color theme="1"/>
        <rFont val="Calibri"/>
        <family val="2"/>
      </rPr>
      <t>Câu 1.1</t>
    </r>
    <r>
      <rPr>
        <sz val="11"/>
        <color theme="1"/>
        <rFont val="Calibri"/>
        <family val="2"/>
      </rPr>
      <t xml:space="preserve">: Theo dữ kiện của đề bài mà không kèm theo điều kiện nào khác. 
             Hợp đồng được ký theo từng Trung tâm cụ thể.
</t>
    </r>
    <r>
      <rPr>
        <b/>
        <u/>
        <sz val="11"/>
        <color theme="1"/>
        <rFont val="Calibri"/>
        <family val="2"/>
      </rPr>
      <t>Câu 1.2</t>
    </r>
    <r>
      <rPr>
        <b/>
        <sz val="11"/>
        <color theme="1"/>
        <rFont val="Calibri"/>
        <family val="2"/>
      </rPr>
      <t>:</t>
    </r>
    <r>
      <rPr>
        <sz val="11"/>
        <color theme="1"/>
        <rFont val="Calibri"/>
        <family val="2"/>
      </rPr>
      <t xml:space="preserve"> Trong trường hợp </t>
    </r>
    <r>
      <rPr>
        <b/>
        <sz val="11"/>
        <color theme="1"/>
        <rFont val="Calibri"/>
        <family val="2"/>
      </rPr>
      <t>Nhà sản xuất 1</t>
    </r>
    <r>
      <rPr>
        <sz val="11"/>
        <color theme="1"/>
        <rFont val="Calibri"/>
        <family val="2"/>
      </rPr>
      <t xml:space="preserve"> chỉ đồng ý ký hợp đồng khi lượng mua từ 15000 cái trở lên.
             Hợp đồng được ký theo từng Trung tâm cụ thể.
</t>
    </r>
    <r>
      <rPr>
        <b/>
        <u/>
        <sz val="11"/>
        <color theme="1"/>
        <rFont val="Calibri"/>
        <family val="2"/>
      </rPr>
      <t>Câu 1.3</t>
    </r>
    <r>
      <rPr>
        <b/>
        <sz val="11"/>
        <color theme="1"/>
        <rFont val="Calibri"/>
        <family val="2"/>
      </rPr>
      <t xml:space="preserve">: </t>
    </r>
    <r>
      <rPr>
        <sz val="11"/>
        <color theme="1"/>
        <rFont val="Calibri"/>
        <family val="2"/>
      </rPr>
      <t xml:space="preserve">Trong trường hợp </t>
    </r>
    <r>
      <rPr>
        <b/>
        <sz val="11"/>
        <color theme="1"/>
        <rFont val="Calibri"/>
        <family val="2"/>
      </rPr>
      <t>Nhà sản xuất 2</t>
    </r>
    <r>
      <rPr>
        <sz val="11"/>
        <color theme="1"/>
        <rFont val="Calibri"/>
        <family val="2"/>
      </rPr>
      <t xml:space="preserve"> chỉ đồng ý ký hợp đồng khi lượng mua là bội số của 3000 cái.
             Hợp đồng được ký theo từng Trung tâm cụ thể.
</t>
    </r>
    <r>
      <rPr>
        <b/>
        <u/>
        <sz val="11"/>
        <color theme="1"/>
        <rFont val="Calibri"/>
        <family val="2"/>
      </rPr>
      <t>Câu 1.4</t>
    </r>
    <r>
      <rPr>
        <b/>
        <sz val="11"/>
        <color theme="1"/>
        <rFont val="Calibri"/>
        <family val="2"/>
      </rPr>
      <t xml:space="preserve">: </t>
    </r>
    <r>
      <rPr>
        <sz val="11"/>
        <color theme="1"/>
        <rFont val="Calibri"/>
        <family val="2"/>
      </rPr>
      <t xml:space="preserve">Trong trường hợp </t>
    </r>
    <r>
      <rPr>
        <b/>
        <sz val="11"/>
        <color theme="1"/>
        <rFont val="Calibri"/>
        <family val="2"/>
      </rPr>
      <t>Nhà sản xuất 1</t>
    </r>
    <r>
      <rPr>
        <sz val="11"/>
        <color theme="1"/>
        <rFont val="Calibri"/>
        <family val="2"/>
      </rPr>
      <t xml:space="preserve"> chỉ đồng ý ký hợp đồng khi lượng mua từ 15000 cái trở lên và </t>
    </r>
    <r>
      <rPr>
        <b/>
        <sz val="11"/>
        <color theme="1"/>
        <rFont val="Calibri"/>
        <family val="2"/>
      </rPr>
      <t>Nhà sản xuất 2</t>
    </r>
    <r>
      <rPr>
        <sz val="11"/>
        <color theme="1"/>
        <rFont val="Calibri"/>
        <family val="2"/>
      </rPr>
      <t xml:space="preserve"> chỉ đồng ý ký hợp đồng khi lượng mua là bội số của 3000 cái.
             Hợp đồng được ký theo từng Trung tâm cụ thể.</t>
    </r>
  </si>
  <si>
    <t>Công ty có nhu cầu mua khẩu trang cho các trung tâm và hiện họ có 05 đơn vị sản xuất đang chào giá.</t>
  </si>
  <si>
    <t xml:space="preserve">Họ sẽ lựa chọn nhà cung cấp nào, số lượng bao nhiêu để ký hợp đồng mua khẩu trang cho từng trung tâm tại các tỉnh thành khác nhau </t>
  </si>
  <si>
    <t>sao cho tổng giá trị hợp đồng là thấp nhất?</t>
  </si>
  <si>
    <t>Bảng chào giá tính theo VND/1000 cái như sau:</t>
  </si>
  <si>
    <t>Chào thầu cho thùng/1000 khẩu trang</t>
  </si>
  <si>
    <t>Hồ Chí Minh</t>
  </si>
  <si>
    <t>Hà Nội</t>
  </si>
  <si>
    <t>Hải Phòng</t>
  </si>
  <si>
    <t>Đà Nẵng</t>
  </si>
  <si>
    <t>Nhà sản xuất 1</t>
  </si>
  <si>
    <t>Nhà sản xuất 2</t>
  </si>
  <si>
    <t>Nhà sản xuất 3</t>
  </si>
  <si>
    <t>Nhà sản xuất 4</t>
  </si>
  <si>
    <t>Nhà sản xuất 5</t>
  </si>
  <si>
    <t>Nhu cầu của các Trung tâm như sau</t>
  </si>
  <si>
    <t>Đã Nẵng</t>
  </si>
  <si>
    <t>Đơn vị: thùng/1000 cái</t>
  </si>
  <si>
    <t>Giới hạn về năng lực cung ứng  của các Nhà sản xuất</t>
  </si>
  <si>
    <t>Số lượng thùng</t>
  </si>
  <si>
    <t>Tổng giá trị hợp đồng</t>
  </si>
  <si>
    <t>Số lượng thùng theo từng nhà sản xuất</t>
  </si>
  <si>
    <t>Giá trị hợp đồng (VND)</t>
  </si>
  <si>
    <t xml:space="preserve">Tổng số lượng cần đặt </t>
  </si>
  <si>
    <t>Số lượng thùng (thùng/1000 cái)</t>
  </si>
  <si>
    <t>Constraint bài toán</t>
  </si>
  <si>
    <r>
      <rPr>
        <b/>
        <sz val="11"/>
        <color theme="2"/>
        <rFont val="Calibri"/>
        <family val="2"/>
        <scheme val="minor"/>
      </rPr>
      <t>Constraint 1:</t>
    </r>
    <r>
      <rPr>
        <sz val="11"/>
        <color theme="2"/>
        <rFont val="Calibri"/>
        <family val="2"/>
        <scheme val="minor"/>
      </rPr>
      <t xml:space="preserve"> Tổng Số lượng cần đặt theo hàng ngang phải bé hơn hoặc bằng Capacity (Không được vượt quá khả năng cung ứng của NCC)</t>
    </r>
  </si>
  <si>
    <t>Khả năng cung ứng (thùng/1000 cái)</t>
  </si>
  <si>
    <r>
      <rPr>
        <b/>
        <sz val="11"/>
        <color theme="2"/>
        <rFont val="Calibri"/>
        <family val="2"/>
        <scheme val="minor"/>
      </rPr>
      <t xml:space="preserve">Constraint 2: </t>
    </r>
    <r>
      <rPr>
        <sz val="11"/>
        <color theme="2"/>
        <rFont val="Calibri"/>
        <family val="2"/>
        <scheme val="minor"/>
      </rPr>
      <t>Tổng Số lượng cần đặt theo hàng dọc phải bằng Demand (Đảm bảo đáp ứng nhu cầu)</t>
    </r>
  </si>
  <si>
    <r>
      <rPr>
        <b/>
        <sz val="11"/>
        <color theme="2"/>
        <rFont val="Calibri"/>
        <family val="2"/>
        <scheme val="minor"/>
      </rPr>
      <t xml:space="preserve">Constraint 3: </t>
    </r>
    <r>
      <rPr>
        <sz val="11"/>
        <color theme="2"/>
        <rFont val="Calibri"/>
        <family val="2"/>
        <scheme val="minor"/>
      </rPr>
      <t>Nhà sản xuất 1 phải có lượng đặt hàng lớn hơn 15 hoặc bằng 0</t>
    </r>
  </si>
  <si>
    <r>
      <rPr>
        <b/>
        <sz val="11"/>
        <color theme="2"/>
        <rFont val="Calibri"/>
        <family val="2"/>
        <scheme val="minor"/>
      </rPr>
      <t xml:space="preserve">Constraint 3: </t>
    </r>
    <r>
      <rPr>
        <sz val="11"/>
        <color theme="2"/>
        <rFont val="Calibri"/>
        <family val="2"/>
        <scheme val="minor"/>
      </rPr>
      <t>Nhà sản xuất 2 phải có lượng đặt hàng có phần dư bằng 0 (Chia hết cho 3)</t>
    </r>
  </si>
  <si>
    <t>Phần dư cung ứng Nhà sản xuất 2</t>
  </si>
  <si>
    <r>
      <rPr>
        <b/>
        <sz val="11"/>
        <color theme="2"/>
        <rFont val="Calibri"/>
        <family val="2"/>
        <scheme val="minor"/>
      </rPr>
      <t xml:space="preserve">Constraint 4: </t>
    </r>
    <r>
      <rPr>
        <sz val="11"/>
        <color theme="2"/>
        <rFont val="Calibri"/>
        <family val="2"/>
        <scheme val="minor"/>
      </rPr>
      <t>Nhà sản xuất 1 phải có lượng đặt hàng lớn hơn 15 hoặc bằng 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</si>
</sst>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\(&quot;$&quot;#,##0\)"/>
    <numFmt numFmtId="165" formatCode="_(* #,##0.00_);_(* \(#,##0.00\);_(* &quot;-&quot;??_);_(@_)"/>
    <numFmt numFmtId="166" formatCode="_(* #,##0_);_(* \(#,##0\);_(* &quot;-&quot;??_);_(@_)"/>
  </numFmts>
  <fonts count="14" x14ac:knownFonts="1">
    <font>
      <sz val="11"/>
      <color theme="1"/>
      <name val="Calibri"/>
      <scheme val="minor"/>
    </font>
    <font>
      <b/>
      <sz val="22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  <font>
      <i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ECECEC"/>
        <bgColor rgb="FFECECEC"/>
      </patternFill>
    </fill>
    <fill>
      <patternFill patternType="solid">
        <fgColor rgb="FFF4B083"/>
        <bgColor rgb="FFF4B083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9"/>
      </patternFill>
    </fill>
    <fill>
      <patternFill patternType="solid">
        <fgColor theme="0"/>
        <bgColor rgb="FFF4B083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thick">
        <color rgb="FF2E75B5"/>
      </left>
      <right/>
      <top style="thick">
        <color rgb="FF2E75B5"/>
      </top>
      <bottom/>
      <diagonal/>
    </border>
    <border>
      <left/>
      <right/>
      <top style="thick">
        <color rgb="FF2E75B5"/>
      </top>
      <bottom/>
      <diagonal/>
    </border>
    <border>
      <left/>
      <right style="thick">
        <color rgb="FF2E75B5"/>
      </right>
      <top style="thick">
        <color rgb="FF2E75B5"/>
      </top>
      <bottom/>
      <diagonal/>
    </border>
    <border>
      <left style="thick">
        <color rgb="FF2E75B5"/>
      </left>
      <right/>
      <top style="thick">
        <color rgb="FF2E75B5"/>
      </top>
      <bottom/>
      <diagonal/>
    </border>
    <border>
      <left/>
      <right/>
      <top style="thick">
        <color rgb="FF2E75B5"/>
      </top>
      <bottom/>
      <diagonal/>
    </border>
    <border>
      <left/>
      <right style="thick">
        <color rgb="FF2E75B5"/>
      </right>
      <top style="thick">
        <color rgb="FF2E75B5"/>
      </top>
      <bottom/>
      <diagonal/>
    </border>
    <border>
      <left style="thick">
        <color rgb="FF2E75B5"/>
      </left>
      <right/>
      <top/>
      <bottom/>
      <diagonal/>
    </border>
    <border>
      <left/>
      <right style="thick">
        <color rgb="FF2E75B5"/>
      </right>
      <top/>
      <bottom/>
      <diagonal/>
    </border>
    <border>
      <left style="thick">
        <color rgb="FF2E75B5"/>
      </left>
      <right/>
      <top/>
      <bottom/>
      <diagonal/>
    </border>
    <border>
      <left/>
      <right style="thick">
        <color rgb="FF2E75B5"/>
      </right>
      <top/>
      <bottom/>
      <diagonal/>
    </border>
    <border>
      <left style="thick">
        <color rgb="FF2E75B5"/>
      </left>
      <right/>
      <top/>
      <bottom style="thick">
        <color rgb="FF2E75B5"/>
      </bottom>
      <diagonal/>
    </border>
    <border>
      <left/>
      <right/>
      <top/>
      <bottom style="thick">
        <color rgb="FF2E75B5"/>
      </bottom>
      <diagonal/>
    </border>
    <border>
      <left/>
      <right style="thick">
        <color rgb="FF2E75B5"/>
      </right>
      <top/>
      <bottom style="thick">
        <color rgb="FF2E75B5"/>
      </bottom>
      <diagonal/>
    </border>
    <border>
      <left/>
      <right/>
      <top/>
      <bottom style="thick">
        <color rgb="FF2E75B5"/>
      </bottom>
      <diagonal/>
    </border>
    <border>
      <left/>
      <right style="thick">
        <color rgb="FF2E75B5"/>
      </right>
      <top/>
      <bottom style="thick">
        <color rgb="FF2E75B5"/>
      </bottom>
      <diagonal/>
    </border>
    <border>
      <left style="thick">
        <color rgb="FF2E75B5"/>
      </left>
      <right/>
      <top/>
      <bottom style="thick">
        <color rgb="FF2E75B5"/>
      </bottom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/>
      <diagonal/>
    </border>
    <border>
      <left/>
      <right/>
      <top style="thick">
        <color theme="4"/>
      </top>
      <bottom/>
      <diagonal/>
    </border>
    <border>
      <left/>
      <right style="thick">
        <color theme="4"/>
      </right>
      <top style="thick">
        <color theme="4"/>
      </top>
      <bottom/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/>
      <top/>
      <bottom style="thick">
        <color theme="4"/>
      </bottom>
      <diagonal/>
    </border>
    <border>
      <left/>
      <right style="thick">
        <color theme="4"/>
      </right>
      <top/>
      <bottom style="thick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/>
      <top style="thin">
        <color theme="4"/>
      </top>
      <bottom style="thick">
        <color theme="4"/>
      </bottom>
      <diagonal/>
    </border>
    <border>
      <left/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4"/>
      </left>
      <right style="thick">
        <color theme="4"/>
      </right>
      <top/>
      <bottom/>
      <diagonal/>
    </border>
    <border>
      <left style="thick">
        <color theme="4"/>
      </left>
      <right style="thick">
        <color theme="4"/>
      </right>
      <top/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1" xfId="0" applyFont="1" applyFill="1" applyBorder="1"/>
    <xf numFmtId="0" fontId="2" fillId="3" borderId="8" xfId="0" applyFont="1" applyFill="1" applyBorder="1" applyAlignment="1">
      <alignment vertical="center"/>
    </xf>
    <xf numFmtId="0" fontId="2" fillId="3" borderId="1" xfId="0" applyFont="1" applyFill="1" applyBorder="1"/>
    <xf numFmtId="0" fontId="2" fillId="3" borderId="9" xfId="0" applyFont="1" applyFill="1" applyBorder="1"/>
    <xf numFmtId="0" fontId="2" fillId="3" borderId="8" xfId="0" applyFont="1" applyFill="1" applyBorder="1"/>
    <xf numFmtId="0" fontId="2" fillId="3" borderId="12" xfId="0" applyFont="1" applyFill="1" applyBorder="1" applyAlignment="1">
      <alignment vertical="center"/>
    </xf>
    <xf numFmtId="0" fontId="2" fillId="3" borderId="13" xfId="0" applyFont="1" applyFill="1" applyBorder="1"/>
    <xf numFmtId="0" fontId="2" fillId="3" borderId="14" xfId="0" applyFont="1" applyFill="1" applyBorder="1"/>
    <xf numFmtId="0" fontId="4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0" xfId="0" applyFont="1" applyBorder="1"/>
    <xf numFmtId="164" fontId="5" fillId="4" borderId="1" xfId="0" applyNumberFormat="1" applyFont="1" applyFill="1" applyBorder="1" applyAlignment="1">
      <alignment horizontal="center" vertical="center"/>
    </xf>
    <xf numFmtId="0" fontId="2" fillId="0" borderId="11" xfId="0" applyFont="1" applyBorder="1"/>
    <xf numFmtId="0" fontId="2" fillId="5" borderId="8" xfId="0" quotePrefix="1" applyFont="1" applyFill="1" applyBorder="1" applyAlignment="1">
      <alignment horizontal="left"/>
    </xf>
    <xf numFmtId="165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0" fontId="2" fillId="5" borderId="12" xfId="0" quotePrefix="1" applyFont="1" applyFill="1" applyBorder="1" applyAlignment="1">
      <alignment horizontal="left"/>
    </xf>
    <xf numFmtId="165" fontId="2" fillId="0" borderId="15" xfId="0" applyNumberFormat="1" applyFont="1" applyBorder="1" applyAlignment="1">
      <alignment vertical="center"/>
    </xf>
    <xf numFmtId="165" fontId="2" fillId="0" borderId="15" xfId="0" applyNumberFormat="1" applyFont="1" applyBorder="1" applyAlignment="1">
      <alignment horizontal="center" vertical="center"/>
    </xf>
    <xf numFmtId="0" fontId="2" fillId="0" borderId="16" xfId="0" applyFont="1" applyBorder="1"/>
    <xf numFmtId="0" fontId="2" fillId="0" borderId="0" xfId="0" applyFont="1" applyAlignment="1">
      <alignment vertical="top" wrapText="1"/>
    </xf>
    <xf numFmtId="0" fontId="4" fillId="0" borderId="5" xfId="0" applyFont="1" applyBorder="1" applyAlignment="1">
      <alignment horizontal="left"/>
    </xf>
    <xf numFmtId="164" fontId="5" fillId="4" borderId="1" xfId="0" applyNumberFormat="1" applyFont="1" applyFill="1" applyBorder="1" applyAlignment="1">
      <alignment horizontal="right"/>
    </xf>
    <xf numFmtId="0" fontId="2" fillId="5" borderId="12" xfId="0" applyFont="1" applyFill="1" applyBorder="1"/>
    <xf numFmtId="0" fontId="2" fillId="0" borderId="15" xfId="0" applyFont="1" applyBorder="1" applyAlignment="1">
      <alignment horizontal="right"/>
    </xf>
    <xf numFmtId="0" fontId="4" fillId="0" borderId="0" xfId="0" applyFont="1"/>
    <xf numFmtId="0" fontId="5" fillId="0" borderId="6" xfId="0" applyFont="1" applyBorder="1"/>
    <xf numFmtId="0" fontId="5" fillId="4" borderId="1" xfId="0" quotePrefix="1" applyFont="1" applyFill="1" applyBorder="1" applyAlignment="1">
      <alignment horizontal="right"/>
    </xf>
    <xf numFmtId="0" fontId="5" fillId="4" borderId="9" xfId="0" quotePrefix="1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0" xfId="0" applyFont="1" applyAlignment="1">
      <alignment horizontal="right"/>
    </xf>
    <xf numFmtId="165" fontId="0" fillId="0" borderId="0" xfId="0" applyNumberFormat="1"/>
    <xf numFmtId="0" fontId="8" fillId="0" borderId="0" xfId="0" applyFont="1"/>
    <xf numFmtId="0" fontId="7" fillId="0" borderId="1" xfId="0" applyFont="1" applyBorder="1"/>
    <xf numFmtId="0" fontId="8" fillId="0" borderId="19" xfId="0" applyFont="1" applyBorder="1"/>
    <xf numFmtId="0" fontId="2" fillId="6" borderId="22" xfId="0" quotePrefix="1" applyFont="1" applyFill="1" applyBorder="1" applyAlignment="1">
      <alignment horizontal="left"/>
    </xf>
    <xf numFmtId="0" fontId="5" fillId="6" borderId="26" xfId="0" applyFont="1" applyFill="1" applyBorder="1" applyAlignment="1">
      <alignment horizontal="left"/>
    </xf>
    <xf numFmtId="164" fontId="5" fillId="7" borderId="20" xfId="0" applyNumberFormat="1" applyFont="1" applyFill="1" applyBorder="1" applyAlignment="1">
      <alignment horizontal="center" vertical="center"/>
    </xf>
    <xf numFmtId="164" fontId="5" fillId="7" borderId="21" xfId="0" applyNumberFormat="1" applyFont="1" applyFill="1" applyBorder="1" applyAlignment="1">
      <alignment horizontal="center" vertical="center"/>
    </xf>
    <xf numFmtId="0" fontId="0" fillId="8" borderId="1" xfId="0" applyFill="1" applyBorder="1"/>
    <xf numFmtId="0" fontId="0" fillId="8" borderId="23" xfId="0" applyFill="1" applyBorder="1"/>
    <xf numFmtId="166" fontId="8" fillId="0" borderId="27" xfId="0" applyNumberFormat="1" applyFont="1" applyBorder="1"/>
    <xf numFmtId="166" fontId="8" fillId="0" borderId="28" xfId="0" applyNumberFormat="1" applyFont="1" applyBorder="1"/>
    <xf numFmtId="0" fontId="8" fillId="9" borderId="1" xfId="0" applyFont="1" applyFill="1" applyBorder="1"/>
    <xf numFmtId="0" fontId="8" fillId="0" borderId="29" xfId="0" applyFont="1" applyBorder="1"/>
    <xf numFmtId="0" fontId="11" fillId="10" borderId="0" xfId="0" applyFont="1" applyFill="1" applyAlignment="1">
      <alignment horizontal="left"/>
    </xf>
    <xf numFmtId="165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4" fillId="0" borderId="19" xfId="0" applyFont="1" applyBorder="1"/>
    <xf numFmtId="165" fontId="2" fillId="0" borderId="23" xfId="0" applyNumberFormat="1" applyFont="1" applyBorder="1" applyAlignment="1">
      <alignment horizontal="center" vertical="center"/>
    </xf>
    <xf numFmtId="0" fontId="2" fillId="6" borderId="24" xfId="0" quotePrefix="1" applyFont="1" applyFill="1" applyBorder="1" applyAlignment="1">
      <alignment horizontal="left"/>
    </xf>
    <xf numFmtId="165" fontId="2" fillId="0" borderId="18" xfId="0" applyNumberFormat="1" applyFont="1" applyBorder="1" applyAlignment="1">
      <alignment vertical="center"/>
    </xf>
    <xf numFmtId="165" fontId="2" fillId="0" borderId="18" xfId="0" applyNumberFormat="1" applyFont="1" applyBorder="1" applyAlignment="1">
      <alignment horizontal="center" vertical="center"/>
    </xf>
    <xf numFmtId="165" fontId="2" fillId="0" borderId="25" xfId="0" applyNumberFormat="1" applyFont="1" applyBorder="1" applyAlignment="1">
      <alignment horizontal="center" vertical="center"/>
    </xf>
    <xf numFmtId="0" fontId="0" fillId="8" borderId="30" xfId="0" applyFill="1" applyBorder="1"/>
    <xf numFmtId="0" fontId="0" fillId="8" borderId="31" xfId="0" applyFill="1" applyBorder="1"/>
    <xf numFmtId="0" fontId="4" fillId="0" borderId="19" xfId="0" applyFont="1" applyBorder="1" applyAlignment="1">
      <alignment horizontal="left"/>
    </xf>
    <xf numFmtId="0" fontId="13" fillId="6" borderId="24" xfId="0" applyFont="1" applyFill="1" applyBorder="1"/>
    <xf numFmtId="0" fontId="2" fillId="0" borderId="18" xfId="0" applyFont="1" applyBorder="1" applyAlignment="1">
      <alignment horizontal="right"/>
    </xf>
    <xf numFmtId="0" fontId="2" fillId="0" borderId="25" xfId="0" applyFont="1" applyBorder="1" applyAlignment="1">
      <alignment horizontal="right"/>
    </xf>
    <xf numFmtId="0" fontId="5" fillId="7" borderId="20" xfId="0" quotePrefix="1" applyFont="1" applyFill="1" applyBorder="1" applyAlignment="1">
      <alignment horizontal="right"/>
    </xf>
    <xf numFmtId="0" fontId="5" fillId="7" borderId="21" xfId="0" quotePrefix="1" applyFont="1" applyFill="1" applyBorder="1" applyAlignment="1">
      <alignment horizontal="right"/>
    </xf>
    <xf numFmtId="0" fontId="8" fillId="8" borderId="19" xfId="0" applyFont="1" applyFill="1" applyBorder="1"/>
    <xf numFmtId="0" fontId="0" fillId="8" borderId="18" xfId="0" applyFill="1" applyBorder="1"/>
    <xf numFmtId="0" fontId="0" fillId="8" borderId="25" xfId="0" applyFill="1" applyBorder="1"/>
    <xf numFmtId="0" fontId="8" fillId="0" borderId="32" xfId="0" applyFont="1" applyBorder="1"/>
    <xf numFmtId="0" fontId="8" fillId="0" borderId="33" xfId="0" applyFont="1" applyBorder="1"/>
    <xf numFmtId="0" fontId="2" fillId="3" borderId="2" xfId="0" applyFont="1" applyFill="1" applyBorder="1" applyAlignment="1">
      <alignment horizontal="left" vertical="top" wrapText="1"/>
    </xf>
    <xf numFmtId="0" fontId="3" fillId="0" borderId="3" xfId="0" applyFont="1" applyBorder="1"/>
    <xf numFmtId="0" fontId="3" fillId="0" borderId="4" xfId="0" applyFont="1" applyBorder="1"/>
    <xf numFmtId="0" fontId="2" fillId="0" borderId="5" xfId="0" applyFont="1" applyBorder="1" applyAlignment="1">
      <alignment horizontal="left" vertical="top" wrapText="1"/>
    </xf>
    <xf numFmtId="0" fontId="3" fillId="0" borderId="6" xfId="0" applyFont="1" applyBorder="1"/>
    <xf numFmtId="0" fontId="3" fillId="0" borderId="7" xfId="0" applyFont="1" applyBorder="1"/>
    <xf numFmtId="0" fontId="3" fillId="0" borderId="10" xfId="0" applyFont="1" applyBorder="1"/>
    <xf numFmtId="0" fontId="0" fillId="0" borderId="0" xfId="0"/>
    <xf numFmtId="0" fontId="3" fillId="0" borderId="11" xfId="0" applyFont="1" applyBorder="1"/>
    <xf numFmtId="0" fontId="3" fillId="0" borderId="17" xfId="0" applyFont="1" applyBorder="1"/>
    <xf numFmtId="0" fontId="3" fillId="0" borderId="15" xfId="0" applyFont="1" applyBorder="1"/>
    <xf numFmtId="0" fontId="3" fillId="0" borderId="16" xfId="0" applyFont="1" applyBorder="1"/>
    <xf numFmtId="0" fontId="9" fillId="0" borderId="18" xfId="0" applyFont="1" applyBorder="1" applyAlignment="1">
      <alignment horizontal="center"/>
    </xf>
    <xf numFmtId="0" fontId="10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xcel%20SQL\Training%20Online\Supply%20Chain%20Data%20Analysis%20Challenge\Solver\Make%20-%20Buy%20Solver%20Procur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e Study 1"/>
      <sheetName val="Case Study 2"/>
      <sheetName val="Case Study 3"/>
      <sheetName val="Case Study 4"/>
      <sheetName val="Case Study 5"/>
      <sheetName val="Case Study 6"/>
      <sheetName val="Case Study 7"/>
      <sheetName val="Case Study 8"/>
      <sheetName val="Case Study 9"/>
      <sheetName val="Case Study 11"/>
      <sheetName val="Case Study 10"/>
      <sheetName val="Sheet1"/>
      <sheetName val="Đề thi"/>
      <sheetName val="Đáp án câu 1"/>
      <sheetName val="Đáp án câu 2"/>
      <sheetName val="Đáp án câu 3"/>
      <sheetName val="Đáp án câu 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55A11"/>
  </sheetPr>
  <dimension ref="A1:S22"/>
  <sheetViews>
    <sheetView showGridLines="0" workbookViewId="0">
      <selection activeCell="T2" sqref="T2"/>
    </sheetView>
  </sheetViews>
  <sheetFormatPr defaultColWidth="14.453125" defaultRowHeight="15" customHeight="1" x14ac:dyDescent="0.35"/>
  <cols>
    <col min="1" max="1" width="31.08984375" customWidth="1"/>
    <col min="2" max="5" width="16.54296875" customWidth="1"/>
    <col min="6" max="6" width="32.453125" customWidth="1"/>
    <col min="7" max="7" width="2.81640625" customWidth="1"/>
    <col min="8" max="26" width="8.81640625" customWidth="1"/>
  </cols>
  <sheetData>
    <row r="1" spans="1:19" ht="28.5" x14ac:dyDescent="0.65">
      <c r="A1" s="1" t="s">
        <v>0</v>
      </c>
    </row>
    <row r="2" spans="1:19" ht="30" customHeight="1" x14ac:dyDescent="0.35">
      <c r="A2" s="71" t="s">
        <v>1</v>
      </c>
      <c r="B2" s="72"/>
      <c r="C2" s="72"/>
      <c r="D2" s="72"/>
      <c r="E2" s="72"/>
      <c r="F2" s="73"/>
      <c r="H2" s="74" t="s">
        <v>2</v>
      </c>
      <c r="I2" s="75"/>
      <c r="J2" s="75"/>
      <c r="K2" s="75"/>
      <c r="L2" s="75"/>
      <c r="M2" s="75"/>
      <c r="N2" s="75"/>
      <c r="O2" s="75"/>
      <c r="P2" s="75"/>
      <c r="Q2" s="75"/>
      <c r="R2" s="75"/>
      <c r="S2" s="76"/>
    </row>
    <row r="3" spans="1:19" ht="14.25" customHeight="1" x14ac:dyDescent="0.35">
      <c r="A3" s="2" t="s">
        <v>3</v>
      </c>
      <c r="B3" s="3"/>
      <c r="C3" s="3"/>
      <c r="D3" s="3"/>
      <c r="E3" s="3"/>
      <c r="F3" s="4"/>
      <c r="H3" s="77"/>
      <c r="I3" s="78"/>
      <c r="J3" s="78"/>
      <c r="K3" s="78"/>
      <c r="L3" s="78"/>
      <c r="M3" s="78"/>
      <c r="N3" s="78"/>
      <c r="O3" s="78"/>
      <c r="P3" s="78"/>
      <c r="Q3" s="78"/>
      <c r="R3" s="78"/>
      <c r="S3" s="79"/>
    </row>
    <row r="4" spans="1:19" ht="25.5" customHeight="1" x14ac:dyDescent="0.35">
      <c r="A4" s="2" t="s">
        <v>4</v>
      </c>
      <c r="B4" s="3"/>
      <c r="C4" s="3"/>
      <c r="D4" s="3"/>
      <c r="E4" s="3"/>
      <c r="F4" s="4"/>
      <c r="H4" s="77"/>
      <c r="I4" s="78"/>
      <c r="J4" s="78"/>
      <c r="K4" s="78"/>
      <c r="L4" s="78"/>
      <c r="M4" s="78"/>
      <c r="N4" s="78"/>
      <c r="O4" s="78"/>
      <c r="P4" s="78"/>
      <c r="Q4" s="78"/>
      <c r="R4" s="78"/>
      <c r="S4" s="79"/>
    </row>
    <row r="5" spans="1:19" ht="14.25" customHeight="1" x14ac:dyDescent="0.35">
      <c r="A5" s="5" t="s">
        <v>5</v>
      </c>
      <c r="B5" s="3"/>
      <c r="C5" s="3"/>
      <c r="D5" s="3"/>
      <c r="E5" s="3"/>
      <c r="F5" s="4"/>
      <c r="H5" s="77"/>
      <c r="I5" s="78"/>
      <c r="J5" s="78"/>
      <c r="K5" s="78"/>
      <c r="L5" s="78"/>
      <c r="M5" s="78"/>
      <c r="N5" s="78"/>
      <c r="O5" s="78"/>
      <c r="P5" s="78"/>
      <c r="Q5" s="78"/>
      <c r="R5" s="78"/>
      <c r="S5" s="79"/>
    </row>
    <row r="6" spans="1:19" ht="14.25" customHeight="1" x14ac:dyDescent="0.35">
      <c r="A6" s="6" t="s">
        <v>6</v>
      </c>
      <c r="B6" s="7"/>
      <c r="C6" s="7"/>
      <c r="D6" s="7"/>
      <c r="E6" s="7"/>
      <c r="F6" s="8"/>
      <c r="H6" s="77"/>
      <c r="I6" s="78"/>
      <c r="J6" s="78"/>
      <c r="K6" s="78"/>
      <c r="L6" s="78"/>
      <c r="M6" s="78"/>
      <c r="N6" s="78"/>
      <c r="O6" s="78"/>
      <c r="P6" s="78"/>
      <c r="Q6" s="78"/>
      <c r="R6" s="78"/>
      <c r="S6" s="79"/>
    </row>
    <row r="7" spans="1:19" ht="14.25" customHeight="1" x14ac:dyDescent="0.35">
      <c r="H7" s="77"/>
      <c r="I7" s="78"/>
      <c r="J7" s="78"/>
      <c r="K7" s="78"/>
      <c r="L7" s="78"/>
      <c r="M7" s="78"/>
      <c r="N7" s="78"/>
      <c r="O7" s="78"/>
      <c r="P7" s="78"/>
      <c r="Q7" s="78"/>
      <c r="R7" s="78"/>
      <c r="S7" s="79"/>
    </row>
    <row r="8" spans="1:19" ht="14.25" customHeight="1" x14ac:dyDescent="0.35">
      <c r="A8" s="9" t="s">
        <v>7</v>
      </c>
      <c r="B8" s="10"/>
      <c r="C8" s="10"/>
      <c r="D8" s="10"/>
      <c r="E8" s="10"/>
      <c r="F8" s="11"/>
      <c r="H8" s="77"/>
      <c r="I8" s="78"/>
      <c r="J8" s="78"/>
      <c r="K8" s="78"/>
      <c r="L8" s="78"/>
      <c r="M8" s="78"/>
      <c r="N8" s="78"/>
      <c r="O8" s="78"/>
      <c r="P8" s="78"/>
      <c r="Q8" s="78"/>
      <c r="R8" s="78"/>
      <c r="S8" s="79"/>
    </row>
    <row r="9" spans="1:19" ht="14.25" customHeight="1" x14ac:dyDescent="0.35">
      <c r="A9" s="12"/>
      <c r="B9" s="13" t="s">
        <v>8</v>
      </c>
      <c r="C9" s="13" t="s">
        <v>9</v>
      </c>
      <c r="D9" s="13" t="s">
        <v>10</v>
      </c>
      <c r="E9" s="13" t="s">
        <v>11</v>
      </c>
      <c r="F9" s="14"/>
      <c r="H9" s="77"/>
      <c r="I9" s="78"/>
      <c r="J9" s="78"/>
      <c r="K9" s="78"/>
      <c r="L9" s="78"/>
      <c r="M9" s="78"/>
      <c r="N9" s="78"/>
      <c r="O9" s="78"/>
      <c r="P9" s="78"/>
      <c r="Q9" s="78"/>
      <c r="R9" s="78"/>
      <c r="S9" s="79"/>
    </row>
    <row r="10" spans="1:19" ht="14.25" customHeight="1" x14ac:dyDescent="0.35">
      <c r="A10" s="15" t="s">
        <v>12</v>
      </c>
      <c r="B10" s="16">
        <v>704986</v>
      </c>
      <c r="C10" s="17">
        <v>704370</v>
      </c>
      <c r="D10" s="17">
        <v>639830</v>
      </c>
      <c r="E10" s="17">
        <v>781834</v>
      </c>
      <c r="F10" s="14"/>
      <c r="H10" s="77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9"/>
    </row>
    <row r="11" spans="1:19" ht="14.25" customHeight="1" x14ac:dyDescent="0.35">
      <c r="A11" s="15" t="s">
        <v>13</v>
      </c>
      <c r="B11" s="16">
        <v>681994</v>
      </c>
      <c r="C11" s="17">
        <v>744763</v>
      </c>
      <c r="D11" s="17">
        <v>759305</v>
      </c>
      <c r="E11" s="17">
        <v>727634</v>
      </c>
      <c r="F11" s="14"/>
      <c r="H11" s="77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9"/>
    </row>
    <row r="12" spans="1:19" ht="14.25" customHeight="1" x14ac:dyDescent="0.35">
      <c r="A12" s="15" t="s">
        <v>14</v>
      </c>
      <c r="B12" s="16">
        <v>649896</v>
      </c>
      <c r="C12" s="17">
        <v>669537</v>
      </c>
      <c r="D12" s="17">
        <v>664394</v>
      </c>
      <c r="E12" s="17">
        <v>653397</v>
      </c>
      <c r="F12" s="14"/>
      <c r="H12" s="77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9"/>
    </row>
    <row r="13" spans="1:19" ht="14.25" customHeight="1" x14ac:dyDescent="0.35">
      <c r="A13" s="15" t="s">
        <v>15</v>
      </c>
      <c r="B13" s="16">
        <v>722885</v>
      </c>
      <c r="C13" s="17">
        <v>753833</v>
      </c>
      <c r="D13" s="17">
        <v>773519</v>
      </c>
      <c r="E13" s="17">
        <v>699529</v>
      </c>
      <c r="F13" s="14"/>
      <c r="H13" s="77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9"/>
    </row>
    <row r="14" spans="1:19" ht="14.25" customHeight="1" x14ac:dyDescent="0.35">
      <c r="A14" s="18" t="s">
        <v>16</v>
      </c>
      <c r="B14" s="19">
        <v>699373</v>
      </c>
      <c r="C14" s="20">
        <v>652477</v>
      </c>
      <c r="D14" s="20">
        <v>652477</v>
      </c>
      <c r="E14" s="20">
        <v>670911</v>
      </c>
      <c r="F14" s="21"/>
      <c r="H14" s="80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2"/>
    </row>
    <row r="15" spans="1:19" ht="13.5" customHeight="1" x14ac:dyDescent="0.35">
      <c r="H15" s="22"/>
      <c r="I15" s="22"/>
      <c r="J15" s="22"/>
      <c r="K15" s="22"/>
      <c r="L15" s="22"/>
      <c r="M15" s="22"/>
      <c r="N15" s="22"/>
      <c r="O15" s="22"/>
      <c r="P15" s="22"/>
      <c r="Q15" s="22"/>
    </row>
    <row r="16" spans="1:19" ht="14.25" customHeight="1" x14ac:dyDescent="0.35">
      <c r="A16" s="23" t="s">
        <v>17</v>
      </c>
      <c r="B16" s="10"/>
      <c r="C16" s="10"/>
      <c r="D16" s="10"/>
      <c r="E16" s="10"/>
      <c r="F16" s="11"/>
    </row>
    <row r="17" spans="1:7" ht="14.25" customHeight="1" x14ac:dyDescent="0.35">
      <c r="A17" s="12"/>
      <c r="B17" s="24" t="s">
        <v>8</v>
      </c>
      <c r="C17" s="24" t="s">
        <v>9</v>
      </c>
      <c r="D17" s="24" t="s">
        <v>10</v>
      </c>
      <c r="E17" s="24" t="s">
        <v>18</v>
      </c>
      <c r="F17" s="14"/>
    </row>
    <row r="18" spans="1:7" ht="14.25" customHeight="1" x14ac:dyDescent="0.35">
      <c r="A18" s="25" t="s">
        <v>19</v>
      </c>
      <c r="B18" s="26">
        <v>40</v>
      </c>
      <c r="C18" s="26">
        <v>50</v>
      </c>
      <c r="D18" s="26">
        <v>37</v>
      </c>
      <c r="E18" s="26">
        <v>35</v>
      </c>
      <c r="F18" s="21"/>
    </row>
    <row r="19" spans="1:7" ht="14.25" customHeight="1" x14ac:dyDescent="0.35">
      <c r="A19" s="27"/>
    </row>
    <row r="20" spans="1:7" ht="14.25" customHeight="1" x14ac:dyDescent="0.35">
      <c r="A20" s="9" t="s">
        <v>20</v>
      </c>
      <c r="B20" s="28"/>
      <c r="C20" s="10"/>
      <c r="D20" s="10"/>
      <c r="E20" s="10"/>
      <c r="F20" s="11"/>
    </row>
    <row r="21" spans="1:7" ht="14.25" customHeight="1" x14ac:dyDescent="0.35">
      <c r="A21" s="12"/>
      <c r="B21" s="29" t="s">
        <v>12</v>
      </c>
      <c r="C21" s="29" t="s">
        <v>13</v>
      </c>
      <c r="D21" s="29" t="s">
        <v>14</v>
      </c>
      <c r="E21" s="29" t="s">
        <v>15</v>
      </c>
      <c r="F21" s="30" t="s">
        <v>16</v>
      </c>
      <c r="G21" s="31"/>
    </row>
    <row r="22" spans="1:7" ht="14.25" customHeight="1" x14ac:dyDescent="0.35">
      <c r="A22" s="25" t="s">
        <v>19</v>
      </c>
      <c r="B22" s="26">
        <v>50</v>
      </c>
      <c r="C22" s="26">
        <v>38</v>
      </c>
      <c r="D22" s="26">
        <v>30</v>
      </c>
      <c r="E22" s="26">
        <v>45</v>
      </c>
      <c r="F22" s="32">
        <v>30</v>
      </c>
      <c r="G22" s="33"/>
    </row>
  </sheetData>
  <mergeCells count="2">
    <mergeCell ref="A2:F2"/>
    <mergeCell ref="H2:S1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37F5-E6B9-4B8E-B57D-E46DC9C66AE3}">
  <dimension ref="A2:I29"/>
  <sheetViews>
    <sheetView showGridLines="0" zoomScaleNormal="100" workbookViewId="0">
      <selection activeCell="A37" sqref="A37"/>
    </sheetView>
  </sheetViews>
  <sheetFormatPr defaultRowHeight="14.5" x14ac:dyDescent="0.35"/>
  <cols>
    <col min="1" max="1" width="114.6328125" bestFit="1" customWidth="1"/>
    <col min="2" max="3" width="13.26953125" bestFit="1" customWidth="1"/>
    <col min="4" max="4" width="14.1796875" bestFit="1" customWidth="1"/>
    <col min="5" max="6" width="13.26953125" bestFit="1" customWidth="1"/>
    <col min="7" max="7" width="31.26953125" bestFit="1" customWidth="1"/>
  </cols>
  <sheetData>
    <row r="2" spans="1:6" ht="17" x14ac:dyDescent="0.4">
      <c r="A2" s="84" t="s">
        <v>27</v>
      </c>
      <c r="B2" s="84"/>
      <c r="C2" s="84"/>
      <c r="D2" s="84"/>
      <c r="E2" s="84"/>
      <c r="F2" s="84"/>
    </row>
    <row r="3" spans="1:6" x14ac:dyDescent="0.35">
      <c r="A3" s="48" t="s">
        <v>28</v>
      </c>
      <c r="B3" s="48"/>
      <c r="C3" s="48"/>
      <c r="D3" s="48"/>
      <c r="E3" s="48"/>
      <c r="F3" s="48"/>
    </row>
    <row r="4" spans="1:6" x14ac:dyDescent="0.35">
      <c r="A4" s="48" t="s">
        <v>30</v>
      </c>
      <c r="B4" s="48"/>
      <c r="C4" s="48"/>
      <c r="D4" s="48"/>
      <c r="E4" s="48"/>
      <c r="F4" s="48"/>
    </row>
    <row r="5" spans="1:6" ht="15" thickBot="1" x14ac:dyDescent="0.4"/>
    <row r="6" spans="1:6" ht="15" thickTop="1" x14ac:dyDescent="0.35">
      <c r="A6" s="52" t="s">
        <v>7</v>
      </c>
      <c r="B6" s="40" t="s">
        <v>8</v>
      </c>
      <c r="C6" s="40" t="s">
        <v>9</v>
      </c>
      <c r="D6" s="40" t="s">
        <v>10</v>
      </c>
      <c r="E6" s="41" t="s">
        <v>11</v>
      </c>
    </row>
    <row r="7" spans="1:6" x14ac:dyDescent="0.35">
      <c r="A7" s="38" t="s">
        <v>12</v>
      </c>
      <c r="B7" s="49">
        <v>704986</v>
      </c>
      <c r="C7" s="50">
        <v>704370</v>
      </c>
      <c r="D7" s="50">
        <v>639830</v>
      </c>
      <c r="E7" s="53">
        <v>781834</v>
      </c>
      <c r="F7" s="51"/>
    </row>
    <row r="8" spans="1:6" x14ac:dyDescent="0.35">
      <c r="A8" s="38" t="s">
        <v>13</v>
      </c>
      <c r="B8" s="49">
        <v>681994</v>
      </c>
      <c r="C8" s="50">
        <v>744763</v>
      </c>
      <c r="D8" s="50">
        <v>759305</v>
      </c>
      <c r="E8" s="53">
        <v>727634</v>
      </c>
      <c r="F8" s="51"/>
    </row>
    <row r="9" spans="1:6" x14ac:dyDescent="0.35">
      <c r="A9" s="38" t="s">
        <v>14</v>
      </c>
      <c r="B9" s="49">
        <v>649896</v>
      </c>
      <c r="C9" s="50">
        <v>669537</v>
      </c>
      <c r="D9" s="50">
        <v>664394</v>
      </c>
      <c r="E9" s="53">
        <v>653397</v>
      </c>
      <c r="F9" s="51"/>
    </row>
    <row r="10" spans="1:6" x14ac:dyDescent="0.35">
      <c r="A10" s="38" t="s">
        <v>15</v>
      </c>
      <c r="B10" s="49">
        <v>722885</v>
      </c>
      <c r="C10" s="50">
        <v>753833</v>
      </c>
      <c r="D10" s="50">
        <v>773519</v>
      </c>
      <c r="E10" s="53">
        <v>699529</v>
      </c>
      <c r="F10" s="51"/>
    </row>
    <row r="11" spans="1:6" ht="15" thickBot="1" x14ac:dyDescent="0.4">
      <c r="A11" s="54" t="s">
        <v>16</v>
      </c>
      <c r="B11" s="55">
        <v>699373</v>
      </c>
      <c r="C11" s="56">
        <v>652477</v>
      </c>
      <c r="D11" s="56">
        <v>652477</v>
      </c>
      <c r="E11" s="57">
        <v>670911</v>
      </c>
      <c r="F11" s="51"/>
    </row>
    <row r="12" spans="1:6" ht="15.5" thickTop="1" thickBot="1" x14ac:dyDescent="0.4">
      <c r="F12" s="51"/>
    </row>
    <row r="13" spans="1:6" ht="15" thickTop="1" x14ac:dyDescent="0.35">
      <c r="A13" s="60" t="s">
        <v>17</v>
      </c>
      <c r="B13" s="40" t="s">
        <v>8</v>
      </c>
      <c r="C13" s="40" t="s">
        <v>9</v>
      </c>
      <c r="D13" s="40" t="s">
        <v>10</v>
      </c>
      <c r="E13" s="41" t="s">
        <v>11</v>
      </c>
      <c r="F13" s="51"/>
    </row>
    <row r="14" spans="1:6" ht="15" thickBot="1" x14ac:dyDescent="0.4">
      <c r="A14" s="61" t="s">
        <v>19</v>
      </c>
      <c r="B14" s="62">
        <v>40</v>
      </c>
      <c r="C14" s="62">
        <v>50</v>
      </c>
      <c r="D14" s="62">
        <v>37</v>
      </c>
      <c r="E14" s="63">
        <v>35</v>
      </c>
    </row>
    <row r="15" spans="1:6" ht="15.5" thickTop="1" thickBot="1" x14ac:dyDescent="0.4">
      <c r="B15" s="51"/>
      <c r="C15" s="51"/>
      <c r="D15" s="51"/>
      <c r="E15" s="51"/>
      <c r="F15" s="51"/>
    </row>
    <row r="16" spans="1:6" ht="15" thickTop="1" x14ac:dyDescent="0.35">
      <c r="A16" s="52" t="s">
        <v>20</v>
      </c>
      <c r="B16" s="64" t="s">
        <v>12</v>
      </c>
      <c r="C16" s="64" t="s">
        <v>13</v>
      </c>
      <c r="D16" s="64" t="s">
        <v>14</v>
      </c>
      <c r="E16" s="64" t="s">
        <v>15</v>
      </c>
      <c r="F16" s="65" t="s">
        <v>16</v>
      </c>
    </row>
    <row r="17" spans="1:9" ht="15" thickBot="1" x14ac:dyDescent="0.4">
      <c r="A17" s="61" t="s">
        <v>19</v>
      </c>
      <c r="B17" s="62">
        <v>50</v>
      </c>
      <c r="C17" s="62">
        <v>38</v>
      </c>
      <c r="D17" s="62">
        <v>30</v>
      </c>
      <c r="E17" s="62">
        <v>45</v>
      </c>
      <c r="F17" s="63">
        <v>30</v>
      </c>
    </row>
    <row r="18" spans="1:9" ht="15" thickTop="1" x14ac:dyDescent="0.35">
      <c r="A18" s="27"/>
      <c r="G18" s="36"/>
    </row>
    <row r="19" spans="1:9" ht="17.5" thickBot="1" x14ac:dyDescent="0.45">
      <c r="A19" s="83" t="s">
        <v>23</v>
      </c>
      <c r="B19" s="83"/>
      <c r="C19" s="83"/>
      <c r="D19" s="83"/>
      <c r="E19" s="83"/>
    </row>
    <row r="20" spans="1:9" ht="15" thickTop="1" x14ac:dyDescent="0.35">
      <c r="A20" s="37" t="s">
        <v>26</v>
      </c>
      <c r="B20" s="40" t="s">
        <v>8</v>
      </c>
      <c r="C20" s="40" t="s">
        <v>9</v>
      </c>
      <c r="D20" s="40" t="s">
        <v>10</v>
      </c>
      <c r="E20" s="41" t="s">
        <v>11</v>
      </c>
      <c r="G20" s="47" t="s">
        <v>29</v>
      </c>
      <c r="I20" s="34"/>
    </row>
    <row r="21" spans="1:9" x14ac:dyDescent="0.35">
      <c r="A21" s="38" t="s">
        <v>12</v>
      </c>
      <c r="B21" s="42">
        <v>0</v>
      </c>
      <c r="C21" s="42">
        <v>13</v>
      </c>
      <c r="D21" s="42">
        <v>37</v>
      </c>
      <c r="E21" s="43">
        <v>0</v>
      </c>
      <c r="G21" s="58">
        <f>SUM(B21:E21)</f>
        <v>50</v>
      </c>
    </row>
    <row r="22" spans="1:9" x14ac:dyDescent="0.35">
      <c r="A22" s="38" t="s">
        <v>13</v>
      </c>
      <c r="B22" s="42">
        <v>38</v>
      </c>
      <c r="C22" s="42">
        <v>0</v>
      </c>
      <c r="D22" s="42">
        <v>0</v>
      </c>
      <c r="E22" s="43">
        <v>0</v>
      </c>
      <c r="G22" s="58">
        <f t="shared" ref="G22:G25" si="0">SUM(B22:E22)</f>
        <v>38</v>
      </c>
    </row>
    <row r="23" spans="1:9" x14ac:dyDescent="0.35">
      <c r="A23" s="38" t="s">
        <v>14</v>
      </c>
      <c r="B23" s="42">
        <v>2</v>
      </c>
      <c r="C23" s="42">
        <v>7</v>
      </c>
      <c r="D23" s="42">
        <v>0</v>
      </c>
      <c r="E23" s="43">
        <v>21</v>
      </c>
      <c r="G23" s="58">
        <f t="shared" si="0"/>
        <v>30</v>
      </c>
    </row>
    <row r="24" spans="1:9" x14ac:dyDescent="0.35">
      <c r="A24" s="38" t="s">
        <v>15</v>
      </c>
      <c r="B24" s="42">
        <v>0</v>
      </c>
      <c r="C24" s="42">
        <v>0</v>
      </c>
      <c r="D24" s="42">
        <v>0</v>
      </c>
      <c r="E24" s="43">
        <v>14</v>
      </c>
      <c r="G24" s="58">
        <f t="shared" si="0"/>
        <v>14</v>
      </c>
    </row>
    <row r="25" spans="1:9" ht="15" thickBot="1" x14ac:dyDescent="0.4">
      <c r="A25" s="38" t="s">
        <v>16</v>
      </c>
      <c r="B25" s="42">
        <v>0</v>
      </c>
      <c r="C25" s="42">
        <v>30</v>
      </c>
      <c r="D25" s="42">
        <v>0</v>
      </c>
      <c r="E25" s="43">
        <v>0</v>
      </c>
      <c r="G25" s="59">
        <f t="shared" si="0"/>
        <v>30</v>
      </c>
    </row>
    <row r="26" spans="1:9" ht="15.5" thickTop="1" thickBot="1" x14ac:dyDescent="0.4">
      <c r="A26" s="39" t="s">
        <v>25</v>
      </c>
      <c r="B26" s="44">
        <f>SUM(B21:B25)</f>
        <v>40</v>
      </c>
      <c r="C26" s="44">
        <f>SUM(C21:C25)</f>
        <v>50</v>
      </c>
      <c r="D26" s="44">
        <f>SUM(D21:D25)</f>
        <v>37</v>
      </c>
      <c r="E26" s="45">
        <f>SUM(E21:E25)</f>
        <v>35</v>
      </c>
    </row>
    <row r="27" spans="1:9" ht="15" thickTop="1" x14ac:dyDescent="0.35">
      <c r="A27" s="35" t="s">
        <v>24</v>
      </c>
      <c r="B27" s="35">
        <f>SUMPRODUCT(B7:B11,B21:B25)</f>
        <v>27215564</v>
      </c>
      <c r="C27" s="35">
        <f>SUMPRODUCT(C7:C11,C21:C25)</f>
        <v>33417879</v>
      </c>
      <c r="D27" s="35">
        <f>SUMPRODUCT(D7:D11,D21:D25)</f>
        <v>23673710</v>
      </c>
      <c r="E27" s="35">
        <f>SUMPRODUCT(E7:E11,E21:E25)</f>
        <v>23514743</v>
      </c>
    </row>
    <row r="29" spans="1:9" x14ac:dyDescent="0.35">
      <c r="A29" s="46" t="s">
        <v>22</v>
      </c>
      <c r="B29" s="46">
        <f>SUM(B27:E27)</f>
        <v>107821896</v>
      </c>
    </row>
  </sheetData>
  <mergeCells count="2">
    <mergeCell ref="A19:E19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5E1A1-B64E-4D7F-BECC-FE4019008A62}">
  <dimension ref="A2:I33"/>
  <sheetViews>
    <sheetView showGridLines="0" zoomScaleNormal="100" workbookViewId="0">
      <selection activeCell="E22" sqref="E22"/>
    </sheetView>
  </sheetViews>
  <sheetFormatPr defaultRowHeight="14.5" x14ac:dyDescent="0.35"/>
  <cols>
    <col min="1" max="1" width="114.6328125" bestFit="1" customWidth="1"/>
    <col min="2" max="3" width="13.26953125" bestFit="1" customWidth="1"/>
    <col min="4" max="4" width="14.1796875" bestFit="1" customWidth="1"/>
    <col min="5" max="6" width="13.26953125" bestFit="1" customWidth="1"/>
    <col min="7" max="7" width="31.26953125" bestFit="1" customWidth="1"/>
  </cols>
  <sheetData>
    <row r="2" spans="1:6" ht="17" x14ac:dyDescent="0.4">
      <c r="A2" s="84" t="s">
        <v>27</v>
      </c>
      <c r="B2" s="84"/>
      <c r="C2" s="84"/>
      <c r="D2" s="84"/>
      <c r="E2" s="84"/>
      <c r="F2" s="84"/>
    </row>
    <row r="3" spans="1:6" x14ac:dyDescent="0.35">
      <c r="A3" s="48" t="s">
        <v>28</v>
      </c>
      <c r="B3" s="48"/>
      <c r="C3" s="48"/>
      <c r="D3" s="48"/>
      <c r="E3" s="48"/>
      <c r="F3" s="48"/>
    </row>
    <row r="4" spans="1:6" x14ac:dyDescent="0.35">
      <c r="A4" s="48" t="s">
        <v>30</v>
      </c>
      <c r="B4" s="48"/>
      <c r="C4" s="48"/>
      <c r="D4" s="48"/>
      <c r="E4" s="48"/>
      <c r="F4" s="48"/>
    </row>
    <row r="5" spans="1:6" x14ac:dyDescent="0.35">
      <c r="A5" s="48" t="s">
        <v>31</v>
      </c>
      <c r="B5" s="48"/>
      <c r="C5" s="48"/>
      <c r="D5" s="48"/>
      <c r="E5" s="48"/>
      <c r="F5" s="48"/>
    </row>
    <row r="6" spans="1:6" ht="15" thickBot="1" x14ac:dyDescent="0.4"/>
    <row r="7" spans="1:6" ht="15" thickTop="1" x14ac:dyDescent="0.35">
      <c r="A7" s="52" t="s">
        <v>7</v>
      </c>
      <c r="B7" s="40" t="s">
        <v>8</v>
      </c>
      <c r="C7" s="40" t="s">
        <v>9</v>
      </c>
      <c r="D7" s="40" t="s">
        <v>10</v>
      </c>
      <c r="E7" s="41" t="s">
        <v>11</v>
      </c>
    </row>
    <row r="8" spans="1:6" x14ac:dyDescent="0.35">
      <c r="A8" s="38" t="s">
        <v>12</v>
      </c>
      <c r="B8" s="49">
        <v>704986</v>
      </c>
      <c r="C8" s="50">
        <v>704370</v>
      </c>
      <c r="D8" s="50">
        <v>639830</v>
      </c>
      <c r="E8" s="53">
        <v>781834</v>
      </c>
      <c r="F8" s="51"/>
    </row>
    <row r="9" spans="1:6" x14ac:dyDescent="0.35">
      <c r="A9" s="38" t="s">
        <v>13</v>
      </c>
      <c r="B9" s="49">
        <v>681994</v>
      </c>
      <c r="C9" s="50">
        <v>744763</v>
      </c>
      <c r="D9" s="50">
        <v>759305</v>
      </c>
      <c r="E9" s="53">
        <v>727634</v>
      </c>
      <c r="F9" s="51"/>
    </row>
    <row r="10" spans="1:6" x14ac:dyDescent="0.35">
      <c r="A10" s="38" t="s">
        <v>14</v>
      </c>
      <c r="B10" s="49">
        <v>649896</v>
      </c>
      <c r="C10" s="50">
        <v>669537</v>
      </c>
      <c r="D10" s="50">
        <v>664394</v>
      </c>
      <c r="E10" s="53">
        <v>653397</v>
      </c>
      <c r="F10" s="51"/>
    </row>
    <row r="11" spans="1:6" x14ac:dyDescent="0.35">
      <c r="A11" s="38" t="s">
        <v>15</v>
      </c>
      <c r="B11" s="49">
        <v>722885</v>
      </c>
      <c r="C11" s="50">
        <v>753833</v>
      </c>
      <c r="D11" s="50">
        <v>773519</v>
      </c>
      <c r="E11" s="53">
        <v>699529</v>
      </c>
      <c r="F11" s="51"/>
    </row>
    <row r="12" spans="1:6" ht="15" thickBot="1" x14ac:dyDescent="0.4">
      <c r="A12" s="54" t="s">
        <v>16</v>
      </c>
      <c r="B12" s="55">
        <v>699373</v>
      </c>
      <c r="C12" s="56">
        <v>652477</v>
      </c>
      <c r="D12" s="56">
        <v>652477</v>
      </c>
      <c r="E12" s="57">
        <v>670911</v>
      </c>
      <c r="F12" s="51"/>
    </row>
    <row r="13" spans="1:6" ht="15.5" thickTop="1" thickBot="1" x14ac:dyDescent="0.4">
      <c r="F13" s="51"/>
    </row>
    <row r="14" spans="1:6" ht="15" thickTop="1" x14ac:dyDescent="0.35">
      <c r="A14" s="60" t="s">
        <v>17</v>
      </c>
      <c r="B14" s="40" t="s">
        <v>8</v>
      </c>
      <c r="C14" s="40" t="s">
        <v>9</v>
      </c>
      <c r="D14" s="40" t="s">
        <v>10</v>
      </c>
      <c r="E14" s="41" t="s">
        <v>11</v>
      </c>
      <c r="F14" s="51"/>
    </row>
    <row r="15" spans="1:6" ht="15" thickBot="1" x14ac:dyDescent="0.4">
      <c r="A15" s="61" t="s">
        <v>19</v>
      </c>
      <c r="B15" s="62">
        <v>40</v>
      </c>
      <c r="C15" s="62">
        <v>50</v>
      </c>
      <c r="D15" s="62">
        <v>37</v>
      </c>
      <c r="E15" s="63">
        <v>35</v>
      </c>
    </row>
    <row r="16" spans="1:6" ht="15.5" thickTop="1" thickBot="1" x14ac:dyDescent="0.4">
      <c r="B16" s="51"/>
      <c r="C16" s="51"/>
      <c r="D16" s="51"/>
      <c r="E16" s="51"/>
      <c r="F16" s="51"/>
    </row>
    <row r="17" spans="1:9" ht="15" thickTop="1" x14ac:dyDescent="0.35">
      <c r="A17" s="52" t="s">
        <v>20</v>
      </c>
      <c r="B17" s="64" t="s">
        <v>12</v>
      </c>
      <c r="C17" s="64" t="s">
        <v>13</v>
      </c>
      <c r="D17" s="64" t="s">
        <v>14</v>
      </c>
      <c r="E17" s="64" t="s">
        <v>15</v>
      </c>
      <c r="F17" s="65" t="s">
        <v>16</v>
      </c>
    </row>
    <row r="18" spans="1:9" ht="15" thickBot="1" x14ac:dyDescent="0.4">
      <c r="A18" s="61" t="s">
        <v>19</v>
      </c>
      <c r="B18" s="62">
        <v>50</v>
      </c>
      <c r="C18" s="62">
        <v>38</v>
      </c>
      <c r="D18" s="62">
        <v>30</v>
      </c>
      <c r="E18" s="62">
        <v>45</v>
      </c>
      <c r="F18" s="63">
        <v>30</v>
      </c>
    </row>
    <row r="19" spans="1:9" ht="15" thickTop="1" x14ac:dyDescent="0.35">
      <c r="A19" s="27"/>
      <c r="G19" s="36"/>
    </row>
    <row r="20" spans="1:9" ht="17.5" thickBot="1" x14ac:dyDescent="0.45">
      <c r="A20" s="83" t="s">
        <v>23</v>
      </c>
      <c r="B20" s="83"/>
      <c r="C20" s="83"/>
      <c r="D20" s="83"/>
      <c r="E20" s="83"/>
    </row>
    <row r="21" spans="1:9" ht="15" thickTop="1" x14ac:dyDescent="0.35">
      <c r="A21" s="37" t="s">
        <v>26</v>
      </c>
      <c r="B21" s="40" t="s">
        <v>8</v>
      </c>
      <c r="C21" s="40" t="s">
        <v>9</v>
      </c>
      <c r="D21" s="40" t="s">
        <v>10</v>
      </c>
      <c r="E21" s="41" t="s">
        <v>11</v>
      </c>
      <c r="G21" s="47" t="s">
        <v>29</v>
      </c>
      <c r="I21" s="34"/>
    </row>
    <row r="22" spans="1:9" x14ac:dyDescent="0.35">
      <c r="A22" s="38" t="s">
        <v>12</v>
      </c>
      <c r="B22" s="42">
        <v>0</v>
      </c>
      <c r="C22" s="42">
        <v>0</v>
      </c>
      <c r="D22" s="42">
        <v>0</v>
      </c>
      <c r="E22" s="43">
        <v>19</v>
      </c>
      <c r="G22" s="58">
        <f>SUM(B22:E22)</f>
        <v>19</v>
      </c>
    </row>
    <row r="23" spans="1:9" x14ac:dyDescent="0.35">
      <c r="A23" s="38" t="s">
        <v>13</v>
      </c>
      <c r="B23" s="42">
        <v>0</v>
      </c>
      <c r="C23" s="42">
        <v>0</v>
      </c>
      <c r="D23" s="42">
        <v>22</v>
      </c>
      <c r="E23" s="43">
        <v>16</v>
      </c>
      <c r="G23" s="58">
        <f t="shared" ref="G23:G26" si="0">SUM(B23:E23)</f>
        <v>38</v>
      </c>
    </row>
    <row r="24" spans="1:9" x14ac:dyDescent="0.35">
      <c r="A24" s="38" t="s">
        <v>14</v>
      </c>
      <c r="B24" s="42">
        <v>0</v>
      </c>
      <c r="C24" s="42">
        <v>15</v>
      </c>
      <c r="D24" s="42">
        <v>15</v>
      </c>
      <c r="E24" s="43">
        <v>0</v>
      </c>
      <c r="G24" s="58">
        <f t="shared" si="0"/>
        <v>30</v>
      </c>
    </row>
    <row r="25" spans="1:9" x14ac:dyDescent="0.35">
      <c r="A25" s="38" t="s">
        <v>15</v>
      </c>
      <c r="B25" s="42">
        <v>10</v>
      </c>
      <c r="C25" s="42">
        <v>35</v>
      </c>
      <c r="D25" s="42">
        <v>0</v>
      </c>
      <c r="E25" s="43">
        <v>0</v>
      </c>
      <c r="G25" s="58">
        <f t="shared" si="0"/>
        <v>45</v>
      </c>
    </row>
    <row r="26" spans="1:9" ht="15" thickBot="1" x14ac:dyDescent="0.4">
      <c r="A26" s="38" t="s">
        <v>16</v>
      </c>
      <c r="B26" s="42">
        <v>30</v>
      </c>
      <c r="C26" s="42">
        <v>0</v>
      </c>
      <c r="D26" s="42">
        <v>0</v>
      </c>
      <c r="E26" s="43">
        <v>0</v>
      </c>
      <c r="G26" s="59">
        <f t="shared" si="0"/>
        <v>30</v>
      </c>
    </row>
    <row r="27" spans="1:9" ht="15.5" thickTop="1" thickBot="1" x14ac:dyDescent="0.4">
      <c r="A27" s="39" t="s">
        <v>25</v>
      </c>
      <c r="B27" s="44">
        <f>SUM(B22:B26)</f>
        <v>40</v>
      </c>
      <c r="C27" s="44">
        <f>SUM(C22:C26)</f>
        <v>50</v>
      </c>
      <c r="D27" s="44">
        <f>SUM(D22:D26)</f>
        <v>37</v>
      </c>
      <c r="E27" s="45">
        <f>SUM(E22:E26)</f>
        <v>35</v>
      </c>
    </row>
    <row r="28" spans="1:9" ht="15" thickTop="1" x14ac:dyDescent="0.35">
      <c r="A28" s="35" t="s">
        <v>24</v>
      </c>
      <c r="B28" s="35">
        <f>SUMPRODUCT(B8:B12,B22:B26)</f>
        <v>28210040</v>
      </c>
      <c r="C28" s="35">
        <f>SUMPRODUCT(C8:C12,C22:C26)</f>
        <v>36427210</v>
      </c>
      <c r="D28" s="35">
        <f>SUMPRODUCT(D8:D12,D22:D26)</f>
        <v>26670620</v>
      </c>
      <c r="E28" s="35">
        <f>SUMPRODUCT(E8:E12,E22:E26)</f>
        <v>26496990</v>
      </c>
    </row>
    <row r="29" spans="1:9" ht="15" thickBot="1" x14ac:dyDescent="0.4"/>
    <row r="30" spans="1:9" ht="15" thickTop="1" x14ac:dyDescent="0.35">
      <c r="A30" s="66" t="s">
        <v>21</v>
      </c>
      <c r="B30" s="40" t="s">
        <v>8</v>
      </c>
      <c r="C30" s="40" t="s">
        <v>9</v>
      </c>
      <c r="D30" s="40" t="s">
        <v>10</v>
      </c>
      <c r="E30" s="41" t="s">
        <v>11</v>
      </c>
    </row>
    <row r="31" spans="1:9" ht="15" thickBot="1" x14ac:dyDescent="0.4">
      <c r="A31" s="54" t="s">
        <v>12</v>
      </c>
      <c r="B31" s="67">
        <f>VALUE(IF(OR(B22&gt;=15,B22=0),1,0))</f>
        <v>1</v>
      </c>
      <c r="C31" s="67">
        <f t="shared" ref="C31:D31" si="1">VALUE(IF(OR(C22&gt;=15,C22=0),1,0))</f>
        <v>1</v>
      </c>
      <c r="D31" s="67">
        <f t="shared" si="1"/>
        <v>1</v>
      </c>
      <c r="E31" s="68">
        <f>VALUE(IF(OR(E22&gt;=15,E22=0),1,0))</f>
        <v>1</v>
      </c>
    </row>
    <row r="32" spans="1:9" ht="15" thickTop="1" x14ac:dyDescent="0.35"/>
    <row r="33" spans="1:2" x14ac:dyDescent="0.35">
      <c r="A33" s="46" t="s">
        <v>22</v>
      </c>
      <c r="B33" s="46">
        <f>SUM(B28:E28)</f>
        <v>117804860</v>
      </c>
    </row>
  </sheetData>
  <mergeCells count="2">
    <mergeCell ref="A2:F2"/>
    <mergeCell ref="A20:E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131F-63AB-424A-A47B-0E373CAA087A}">
  <dimension ref="A2:I32"/>
  <sheetViews>
    <sheetView showGridLines="0" zoomScaleNormal="100" workbookViewId="0">
      <selection activeCell="A36" sqref="A36"/>
    </sheetView>
  </sheetViews>
  <sheetFormatPr defaultRowHeight="14.5" x14ac:dyDescent="0.35"/>
  <cols>
    <col min="1" max="1" width="114.6328125" bestFit="1" customWidth="1"/>
    <col min="2" max="3" width="13.26953125" bestFit="1" customWidth="1"/>
    <col min="4" max="4" width="14.1796875" bestFit="1" customWidth="1"/>
    <col min="5" max="6" width="13.26953125" bestFit="1" customWidth="1"/>
    <col min="7" max="7" width="31.26953125" bestFit="1" customWidth="1"/>
  </cols>
  <sheetData>
    <row r="2" spans="1:6" ht="17" x14ac:dyDescent="0.4">
      <c r="A2" s="84" t="s">
        <v>27</v>
      </c>
      <c r="B2" s="84"/>
      <c r="C2" s="84"/>
      <c r="D2" s="84"/>
      <c r="E2" s="84"/>
      <c r="F2" s="84"/>
    </row>
    <row r="3" spans="1:6" x14ac:dyDescent="0.35">
      <c r="A3" s="48" t="s">
        <v>28</v>
      </c>
      <c r="B3" s="48"/>
      <c r="C3" s="48"/>
      <c r="D3" s="48"/>
      <c r="E3" s="48"/>
      <c r="F3" s="48"/>
    </row>
    <row r="4" spans="1:6" x14ac:dyDescent="0.35">
      <c r="A4" s="48" t="s">
        <v>30</v>
      </c>
      <c r="B4" s="48"/>
      <c r="C4" s="48"/>
      <c r="D4" s="48"/>
      <c r="E4" s="48"/>
      <c r="F4" s="48"/>
    </row>
    <row r="5" spans="1:6" x14ac:dyDescent="0.35">
      <c r="A5" s="48" t="s">
        <v>32</v>
      </c>
      <c r="B5" s="48"/>
      <c r="C5" s="48"/>
      <c r="D5" s="48"/>
      <c r="E5" s="48"/>
      <c r="F5" s="48"/>
    </row>
    <row r="6" spans="1:6" ht="15" thickBot="1" x14ac:dyDescent="0.4"/>
    <row r="7" spans="1:6" ht="15" thickTop="1" x14ac:dyDescent="0.35">
      <c r="A7" s="52" t="s">
        <v>7</v>
      </c>
      <c r="B7" s="40" t="s">
        <v>8</v>
      </c>
      <c r="C7" s="40" t="s">
        <v>9</v>
      </c>
      <c r="D7" s="40" t="s">
        <v>10</v>
      </c>
      <c r="E7" s="41" t="s">
        <v>11</v>
      </c>
    </row>
    <row r="8" spans="1:6" x14ac:dyDescent="0.35">
      <c r="A8" s="38" t="s">
        <v>12</v>
      </c>
      <c r="B8" s="49">
        <v>704986</v>
      </c>
      <c r="C8" s="50">
        <v>704370</v>
      </c>
      <c r="D8" s="50">
        <v>639830</v>
      </c>
      <c r="E8" s="53">
        <v>781834</v>
      </c>
      <c r="F8" s="51"/>
    </row>
    <row r="9" spans="1:6" x14ac:dyDescent="0.35">
      <c r="A9" s="38" t="s">
        <v>13</v>
      </c>
      <c r="B9" s="49">
        <v>681994</v>
      </c>
      <c r="C9" s="50">
        <v>744763</v>
      </c>
      <c r="D9" s="50">
        <v>759305</v>
      </c>
      <c r="E9" s="53">
        <v>727634</v>
      </c>
      <c r="F9" s="51"/>
    </row>
    <row r="10" spans="1:6" x14ac:dyDescent="0.35">
      <c r="A10" s="38" t="s">
        <v>14</v>
      </c>
      <c r="B10" s="49">
        <v>649896</v>
      </c>
      <c r="C10" s="50">
        <v>669537</v>
      </c>
      <c r="D10" s="50">
        <v>664394</v>
      </c>
      <c r="E10" s="53">
        <v>653397</v>
      </c>
      <c r="F10" s="51"/>
    </row>
    <row r="11" spans="1:6" x14ac:dyDescent="0.35">
      <c r="A11" s="38" t="s">
        <v>15</v>
      </c>
      <c r="B11" s="49">
        <v>722885</v>
      </c>
      <c r="C11" s="50">
        <v>753833</v>
      </c>
      <c r="D11" s="50">
        <v>773519</v>
      </c>
      <c r="E11" s="53">
        <v>699529</v>
      </c>
      <c r="F11" s="51"/>
    </row>
    <row r="12" spans="1:6" ht="15" thickBot="1" x14ac:dyDescent="0.4">
      <c r="A12" s="54" t="s">
        <v>16</v>
      </c>
      <c r="B12" s="55">
        <v>699373</v>
      </c>
      <c r="C12" s="56">
        <v>652477</v>
      </c>
      <c r="D12" s="56">
        <v>652477</v>
      </c>
      <c r="E12" s="57">
        <v>670911</v>
      </c>
      <c r="F12" s="51"/>
    </row>
    <row r="13" spans="1:6" ht="15.5" thickTop="1" thickBot="1" x14ac:dyDescent="0.4">
      <c r="F13" s="51"/>
    </row>
    <row r="14" spans="1:6" ht="15" thickTop="1" x14ac:dyDescent="0.35">
      <c r="A14" s="60" t="s">
        <v>17</v>
      </c>
      <c r="B14" s="40" t="s">
        <v>8</v>
      </c>
      <c r="C14" s="40" t="s">
        <v>9</v>
      </c>
      <c r="D14" s="40" t="s">
        <v>10</v>
      </c>
      <c r="E14" s="41" t="s">
        <v>11</v>
      </c>
      <c r="F14" s="51"/>
    </row>
    <row r="15" spans="1:6" ht="15" thickBot="1" x14ac:dyDescent="0.4">
      <c r="A15" s="61" t="s">
        <v>19</v>
      </c>
      <c r="B15" s="62">
        <v>40</v>
      </c>
      <c r="C15" s="62">
        <v>50</v>
      </c>
      <c r="D15" s="62">
        <v>37</v>
      </c>
      <c r="E15" s="63">
        <v>35</v>
      </c>
    </row>
    <row r="16" spans="1:6" ht="15.5" thickTop="1" thickBot="1" x14ac:dyDescent="0.4">
      <c r="B16" s="51"/>
      <c r="C16" s="51"/>
      <c r="D16" s="51"/>
      <c r="E16" s="51"/>
      <c r="F16" s="51"/>
    </row>
    <row r="17" spans="1:9" ht="15" thickTop="1" x14ac:dyDescent="0.35">
      <c r="A17" s="52" t="s">
        <v>20</v>
      </c>
      <c r="B17" s="64" t="s">
        <v>12</v>
      </c>
      <c r="C17" s="64" t="s">
        <v>13</v>
      </c>
      <c r="D17" s="64" t="s">
        <v>14</v>
      </c>
      <c r="E17" s="64" t="s">
        <v>15</v>
      </c>
      <c r="F17" s="65" t="s">
        <v>16</v>
      </c>
    </row>
    <row r="18" spans="1:9" ht="15" thickBot="1" x14ac:dyDescent="0.4">
      <c r="A18" s="61" t="s">
        <v>19</v>
      </c>
      <c r="B18" s="62">
        <v>50</v>
      </c>
      <c r="C18" s="62">
        <v>38</v>
      </c>
      <c r="D18" s="62">
        <v>30</v>
      </c>
      <c r="E18" s="62">
        <v>45</v>
      </c>
      <c r="F18" s="63">
        <v>30</v>
      </c>
    </row>
    <row r="19" spans="1:9" ht="15" thickTop="1" x14ac:dyDescent="0.35">
      <c r="A19" s="27"/>
      <c r="G19" s="36"/>
    </row>
    <row r="20" spans="1:9" ht="17.5" thickBot="1" x14ac:dyDescent="0.45">
      <c r="A20" s="83" t="s">
        <v>23</v>
      </c>
      <c r="B20" s="83"/>
      <c r="C20" s="83"/>
      <c r="D20" s="83"/>
      <c r="E20" s="83"/>
    </row>
    <row r="21" spans="1:9" ht="15" thickTop="1" x14ac:dyDescent="0.35">
      <c r="A21" s="37" t="s">
        <v>26</v>
      </c>
      <c r="B21" s="40" t="s">
        <v>8</v>
      </c>
      <c r="C21" s="40" t="s">
        <v>9</v>
      </c>
      <c r="D21" s="40" t="s">
        <v>10</v>
      </c>
      <c r="E21" s="41" t="s">
        <v>11</v>
      </c>
      <c r="G21" s="47" t="s">
        <v>29</v>
      </c>
      <c r="I21" s="34"/>
    </row>
    <row r="22" spans="1:9" x14ac:dyDescent="0.35">
      <c r="A22" s="38" t="s">
        <v>12</v>
      </c>
      <c r="B22" s="42">
        <v>0</v>
      </c>
      <c r="C22" s="42">
        <v>23</v>
      </c>
      <c r="D22" s="42">
        <v>27</v>
      </c>
      <c r="E22" s="43">
        <v>0</v>
      </c>
      <c r="G22" s="58">
        <f>SUM(B22:E22)</f>
        <v>50</v>
      </c>
    </row>
    <row r="23" spans="1:9" x14ac:dyDescent="0.35">
      <c r="A23" s="38" t="s">
        <v>13</v>
      </c>
      <c r="B23" s="42">
        <v>33</v>
      </c>
      <c r="C23" s="42">
        <v>0</v>
      </c>
      <c r="D23" s="42">
        <v>0</v>
      </c>
      <c r="E23" s="43">
        <v>0</v>
      </c>
      <c r="G23" s="58">
        <f t="shared" ref="G23:G26" si="0">SUM(B23:E23)</f>
        <v>33</v>
      </c>
    </row>
    <row r="24" spans="1:9" x14ac:dyDescent="0.35">
      <c r="A24" s="38" t="s">
        <v>14</v>
      </c>
      <c r="B24" s="42">
        <v>7</v>
      </c>
      <c r="C24" s="42">
        <v>0</v>
      </c>
      <c r="D24" s="42">
        <v>7</v>
      </c>
      <c r="E24" s="43">
        <v>16</v>
      </c>
      <c r="G24" s="58">
        <f t="shared" si="0"/>
        <v>30</v>
      </c>
    </row>
    <row r="25" spans="1:9" x14ac:dyDescent="0.35">
      <c r="A25" s="38" t="s">
        <v>15</v>
      </c>
      <c r="B25" s="42">
        <v>0</v>
      </c>
      <c r="C25" s="42">
        <v>0</v>
      </c>
      <c r="D25" s="42">
        <v>0</v>
      </c>
      <c r="E25" s="43">
        <v>19</v>
      </c>
      <c r="G25" s="58">
        <f t="shared" si="0"/>
        <v>19</v>
      </c>
    </row>
    <row r="26" spans="1:9" ht="15" thickBot="1" x14ac:dyDescent="0.4">
      <c r="A26" s="38" t="s">
        <v>16</v>
      </c>
      <c r="B26" s="42">
        <v>0</v>
      </c>
      <c r="C26" s="42">
        <v>27</v>
      </c>
      <c r="D26" s="42">
        <v>3</v>
      </c>
      <c r="E26" s="43">
        <v>0</v>
      </c>
      <c r="G26" s="59">
        <f t="shared" si="0"/>
        <v>30</v>
      </c>
    </row>
    <row r="27" spans="1:9" ht="15.5" thickTop="1" thickBot="1" x14ac:dyDescent="0.4">
      <c r="A27" s="39" t="s">
        <v>25</v>
      </c>
      <c r="B27" s="44">
        <f>SUM(B22:B26)</f>
        <v>40</v>
      </c>
      <c r="C27" s="44">
        <f>SUM(C22:C26)</f>
        <v>50</v>
      </c>
      <c r="D27" s="44">
        <f>SUM(D22:D26)</f>
        <v>37</v>
      </c>
      <c r="E27" s="45">
        <f>SUM(E22:E26)</f>
        <v>35</v>
      </c>
    </row>
    <row r="28" spans="1:9" ht="15" thickTop="1" x14ac:dyDescent="0.35">
      <c r="A28" s="35" t="s">
        <v>24</v>
      </c>
      <c r="B28" s="35">
        <f>SUMPRODUCT(B8:B12,B22:B26)</f>
        <v>27055074</v>
      </c>
      <c r="C28" s="35">
        <f>SUMPRODUCT(C8:C12,C22:C26)</f>
        <v>33817389</v>
      </c>
      <c r="D28" s="35">
        <f>SUMPRODUCT(D8:D12,D22:D26)</f>
        <v>23883599</v>
      </c>
      <c r="E28" s="35">
        <f>SUMPRODUCT(E8:E12,E22:E26)</f>
        <v>23745403</v>
      </c>
    </row>
    <row r="29" spans="1:9" ht="15" thickBot="1" x14ac:dyDescent="0.4">
      <c r="A29" s="35"/>
      <c r="B29" s="35"/>
      <c r="C29" s="35"/>
      <c r="D29" s="35"/>
      <c r="E29" s="35"/>
    </row>
    <row r="30" spans="1:9" ht="15.5" thickTop="1" thickBot="1" x14ac:dyDescent="0.4">
      <c r="A30" s="69" t="s">
        <v>33</v>
      </c>
      <c r="B30" s="70">
        <f>MOD(G23,3)</f>
        <v>0</v>
      </c>
    </row>
    <row r="31" spans="1:9" ht="15" thickTop="1" x14ac:dyDescent="0.35"/>
    <row r="32" spans="1:9" x14ac:dyDescent="0.35">
      <c r="A32" s="46" t="s">
        <v>22</v>
      </c>
      <c r="B32" s="46">
        <f>SUM(B28:E28)</f>
        <v>108501465</v>
      </c>
    </row>
  </sheetData>
  <mergeCells count="2">
    <mergeCell ref="A2:F2"/>
    <mergeCell ref="A20:E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D522E-0177-41FB-A351-76340752533C}">
  <dimension ref="A2:I36"/>
  <sheetViews>
    <sheetView showGridLines="0" tabSelected="1" topLeftCell="A10" zoomScaleNormal="100" workbookViewId="0">
      <selection activeCell="H14" sqref="H14"/>
    </sheetView>
  </sheetViews>
  <sheetFormatPr defaultRowHeight="14.5" x14ac:dyDescent="0.35"/>
  <cols>
    <col min="1" max="1" width="114.6328125" bestFit="1" customWidth="1"/>
    <col min="2" max="3" width="13.26953125" bestFit="1" customWidth="1"/>
    <col min="4" max="4" width="14.1796875" bestFit="1" customWidth="1"/>
    <col min="5" max="6" width="13.26953125" bestFit="1" customWidth="1"/>
    <col min="7" max="7" width="31.26953125" bestFit="1" customWidth="1"/>
  </cols>
  <sheetData>
    <row r="2" spans="1:6" ht="17" x14ac:dyDescent="0.4">
      <c r="A2" s="84" t="s">
        <v>27</v>
      </c>
      <c r="B2" s="84"/>
      <c r="C2" s="84"/>
      <c r="D2" s="84"/>
      <c r="E2" s="84"/>
      <c r="F2" s="84"/>
    </row>
    <row r="3" spans="1:6" x14ac:dyDescent="0.35">
      <c r="A3" s="48" t="s">
        <v>28</v>
      </c>
      <c r="B3" s="48"/>
      <c r="C3" s="48"/>
      <c r="D3" s="48"/>
      <c r="E3" s="48"/>
      <c r="F3" s="48"/>
    </row>
    <row r="4" spans="1:6" x14ac:dyDescent="0.35">
      <c r="A4" s="48" t="s">
        <v>30</v>
      </c>
      <c r="B4" s="48"/>
      <c r="C4" s="48"/>
      <c r="D4" s="48"/>
      <c r="E4" s="48"/>
      <c r="F4" s="48"/>
    </row>
    <row r="5" spans="1:6" x14ac:dyDescent="0.35">
      <c r="A5" s="48" t="s">
        <v>32</v>
      </c>
      <c r="B5" s="48"/>
      <c r="C5" s="48"/>
      <c r="D5" s="48"/>
      <c r="E5" s="48"/>
      <c r="F5" s="48"/>
    </row>
    <row r="6" spans="1:6" x14ac:dyDescent="0.35">
      <c r="A6" s="48" t="s">
        <v>34</v>
      </c>
      <c r="B6" s="48"/>
      <c r="C6" s="48"/>
      <c r="D6" s="48"/>
      <c r="E6" s="48"/>
      <c r="F6" s="48"/>
    </row>
    <row r="7" spans="1:6" ht="15" thickBot="1" x14ac:dyDescent="0.4"/>
    <row r="8" spans="1:6" ht="15" thickTop="1" x14ac:dyDescent="0.35">
      <c r="A8" s="52" t="s">
        <v>7</v>
      </c>
      <c r="B8" s="40" t="s">
        <v>8</v>
      </c>
      <c r="C8" s="40" t="s">
        <v>9</v>
      </c>
      <c r="D8" s="40" t="s">
        <v>10</v>
      </c>
      <c r="E8" s="41" t="s">
        <v>11</v>
      </c>
    </row>
    <row r="9" spans="1:6" x14ac:dyDescent="0.35">
      <c r="A9" s="38" t="s">
        <v>12</v>
      </c>
      <c r="B9" s="49">
        <v>704986</v>
      </c>
      <c r="C9" s="50">
        <v>704370</v>
      </c>
      <c r="D9" s="50">
        <v>639830</v>
      </c>
      <c r="E9" s="53">
        <v>781834</v>
      </c>
      <c r="F9" s="51"/>
    </row>
    <row r="10" spans="1:6" x14ac:dyDescent="0.35">
      <c r="A10" s="38" t="s">
        <v>13</v>
      </c>
      <c r="B10" s="49">
        <v>681994</v>
      </c>
      <c r="C10" s="50">
        <v>744763</v>
      </c>
      <c r="D10" s="50">
        <v>759305</v>
      </c>
      <c r="E10" s="53">
        <v>727634</v>
      </c>
      <c r="F10" s="51"/>
    </row>
    <row r="11" spans="1:6" x14ac:dyDescent="0.35">
      <c r="A11" s="38" t="s">
        <v>14</v>
      </c>
      <c r="B11" s="49">
        <v>649896</v>
      </c>
      <c r="C11" s="50">
        <v>669537</v>
      </c>
      <c r="D11" s="50">
        <v>664394</v>
      </c>
      <c r="E11" s="53">
        <v>653397</v>
      </c>
      <c r="F11" s="51"/>
    </row>
    <row r="12" spans="1:6" x14ac:dyDescent="0.35">
      <c r="A12" s="38" t="s">
        <v>15</v>
      </c>
      <c r="B12" s="49">
        <v>722885</v>
      </c>
      <c r="C12" s="50">
        <v>753833</v>
      </c>
      <c r="D12" s="50">
        <v>773519</v>
      </c>
      <c r="E12" s="53">
        <v>699529</v>
      </c>
      <c r="F12" s="51"/>
    </row>
    <row r="13" spans="1:6" ht="15" thickBot="1" x14ac:dyDescent="0.4">
      <c r="A13" s="54" t="s">
        <v>16</v>
      </c>
      <c r="B13" s="55">
        <v>699373</v>
      </c>
      <c r="C13" s="56">
        <v>652477</v>
      </c>
      <c r="D13" s="56">
        <v>652477</v>
      </c>
      <c r="E13" s="57">
        <v>670911</v>
      </c>
      <c r="F13" s="51"/>
    </row>
    <row r="14" spans="1:6" ht="15.5" thickTop="1" thickBot="1" x14ac:dyDescent="0.4">
      <c r="F14" s="51"/>
    </row>
    <row r="15" spans="1:6" ht="15" thickTop="1" x14ac:dyDescent="0.35">
      <c r="A15" s="60" t="s">
        <v>17</v>
      </c>
      <c r="B15" s="40" t="s">
        <v>8</v>
      </c>
      <c r="C15" s="40" t="s">
        <v>9</v>
      </c>
      <c r="D15" s="40" t="s">
        <v>10</v>
      </c>
      <c r="E15" s="41" t="s">
        <v>11</v>
      </c>
      <c r="F15" s="51"/>
    </row>
    <row r="16" spans="1:6" ht="15" thickBot="1" x14ac:dyDescent="0.4">
      <c r="A16" s="61" t="s">
        <v>19</v>
      </c>
      <c r="B16" s="62">
        <v>40</v>
      </c>
      <c r="C16" s="62">
        <v>50</v>
      </c>
      <c r="D16" s="62">
        <v>37</v>
      </c>
      <c r="E16" s="63">
        <v>35</v>
      </c>
    </row>
    <row r="17" spans="1:9" ht="15.5" thickTop="1" thickBot="1" x14ac:dyDescent="0.4">
      <c r="B17" s="51"/>
      <c r="C17" s="51"/>
      <c r="D17" s="51"/>
      <c r="E17" s="51"/>
      <c r="F17" s="51"/>
    </row>
    <row r="18" spans="1:9" ht="15" thickTop="1" x14ac:dyDescent="0.35">
      <c r="A18" s="52" t="s">
        <v>20</v>
      </c>
      <c r="B18" s="64" t="s">
        <v>12</v>
      </c>
      <c r="C18" s="64" t="s">
        <v>13</v>
      </c>
      <c r="D18" s="64" t="s">
        <v>14</v>
      </c>
      <c r="E18" s="64" t="s">
        <v>15</v>
      </c>
      <c r="F18" s="65" t="s">
        <v>16</v>
      </c>
    </row>
    <row r="19" spans="1:9" ht="15" thickBot="1" x14ac:dyDescent="0.4">
      <c r="A19" s="61" t="s">
        <v>19</v>
      </c>
      <c r="B19" s="62">
        <v>50</v>
      </c>
      <c r="C19" s="62">
        <v>38</v>
      </c>
      <c r="D19" s="62">
        <v>30</v>
      </c>
      <c r="E19" s="62">
        <v>45</v>
      </c>
      <c r="F19" s="63">
        <v>30</v>
      </c>
    </row>
    <row r="20" spans="1:9" ht="15" thickTop="1" x14ac:dyDescent="0.35">
      <c r="A20" s="27"/>
      <c r="G20" s="36"/>
    </row>
    <row r="21" spans="1:9" ht="17.5" thickBot="1" x14ac:dyDescent="0.45">
      <c r="A21" s="83" t="s">
        <v>23</v>
      </c>
      <c r="B21" s="83"/>
      <c r="C21" s="83"/>
      <c r="D21" s="83"/>
      <c r="E21" s="83"/>
    </row>
    <row r="22" spans="1:9" ht="15" thickTop="1" x14ac:dyDescent="0.35">
      <c r="A22" s="37" t="s">
        <v>26</v>
      </c>
      <c r="B22" s="40" t="s">
        <v>8</v>
      </c>
      <c r="C22" s="40" t="s">
        <v>9</v>
      </c>
      <c r="D22" s="40" t="s">
        <v>10</v>
      </c>
      <c r="E22" s="41" t="s">
        <v>11</v>
      </c>
      <c r="G22" s="47" t="s">
        <v>29</v>
      </c>
      <c r="I22" s="34"/>
    </row>
    <row r="23" spans="1:9" x14ac:dyDescent="0.35">
      <c r="A23" s="38" t="s">
        <v>12</v>
      </c>
      <c r="B23" s="42">
        <v>0</v>
      </c>
      <c r="C23" s="42">
        <v>0</v>
      </c>
      <c r="D23" s="42">
        <v>0</v>
      </c>
      <c r="E23" s="43">
        <v>21</v>
      </c>
      <c r="G23" s="58">
        <f>SUM(B23:E23)</f>
        <v>21</v>
      </c>
    </row>
    <row r="24" spans="1:9" x14ac:dyDescent="0.35">
      <c r="A24" s="38" t="s">
        <v>13</v>
      </c>
      <c r="B24" s="42">
        <v>0</v>
      </c>
      <c r="C24" s="42">
        <v>0</v>
      </c>
      <c r="D24" s="42">
        <v>22</v>
      </c>
      <c r="E24" s="43">
        <v>14</v>
      </c>
      <c r="G24" s="58">
        <f t="shared" ref="G24:G27" si="0">SUM(B24:E24)</f>
        <v>36</v>
      </c>
    </row>
    <row r="25" spans="1:9" x14ac:dyDescent="0.35">
      <c r="A25" s="38" t="s">
        <v>14</v>
      </c>
      <c r="B25" s="42">
        <v>0</v>
      </c>
      <c r="C25" s="42">
        <v>15</v>
      </c>
      <c r="D25" s="42">
        <v>15</v>
      </c>
      <c r="E25" s="43">
        <v>0</v>
      </c>
      <c r="G25" s="58">
        <f t="shared" si="0"/>
        <v>30</v>
      </c>
    </row>
    <row r="26" spans="1:9" x14ac:dyDescent="0.35">
      <c r="A26" s="38" t="s">
        <v>15</v>
      </c>
      <c r="B26" s="42">
        <v>10</v>
      </c>
      <c r="C26" s="42">
        <v>35</v>
      </c>
      <c r="D26" s="42">
        <v>0</v>
      </c>
      <c r="E26" s="43">
        <v>0</v>
      </c>
      <c r="G26" s="58">
        <f t="shared" si="0"/>
        <v>45</v>
      </c>
    </row>
    <row r="27" spans="1:9" ht="15" thickBot="1" x14ac:dyDescent="0.4">
      <c r="A27" s="38" t="s">
        <v>16</v>
      </c>
      <c r="B27" s="42">
        <v>30</v>
      </c>
      <c r="C27" s="42">
        <v>0</v>
      </c>
      <c r="D27" s="42">
        <v>0</v>
      </c>
      <c r="E27" s="43">
        <v>0</v>
      </c>
      <c r="G27" s="59">
        <f t="shared" si="0"/>
        <v>30</v>
      </c>
    </row>
    <row r="28" spans="1:9" ht="15.5" thickTop="1" thickBot="1" x14ac:dyDescent="0.4">
      <c r="A28" s="39" t="s">
        <v>25</v>
      </c>
      <c r="B28" s="44">
        <f>SUM(B23:B27)</f>
        <v>40</v>
      </c>
      <c r="C28" s="44">
        <f>SUM(C23:C27)</f>
        <v>50</v>
      </c>
      <c r="D28" s="44">
        <f>SUM(D23:D27)</f>
        <v>37</v>
      </c>
      <c r="E28" s="45">
        <f>SUM(E23:E27)</f>
        <v>35</v>
      </c>
    </row>
    <row r="29" spans="1:9" ht="15" thickTop="1" x14ac:dyDescent="0.35">
      <c r="A29" s="35" t="s">
        <v>24</v>
      </c>
      <c r="B29" s="35">
        <f>SUMPRODUCT(B9:B13,B23:B27)</f>
        <v>28210040</v>
      </c>
      <c r="C29" s="35">
        <f>SUMPRODUCT(C9:C13,C23:C27)</f>
        <v>36427210</v>
      </c>
      <c r="D29" s="35">
        <f>SUMPRODUCT(D9:D13,D23:D27)</f>
        <v>26670620</v>
      </c>
      <c r="E29" s="35">
        <f>SUMPRODUCT(E9:E13,E23:E27)</f>
        <v>26605390</v>
      </c>
    </row>
    <row r="30" spans="1:9" ht="15" thickBot="1" x14ac:dyDescent="0.4"/>
    <row r="31" spans="1:9" ht="15" thickTop="1" x14ac:dyDescent="0.35">
      <c r="A31" s="66" t="s">
        <v>21</v>
      </c>
      <c r="B31" s="40" t="s">
        <v>8</v>
      </c>
      <c r="C31" s="40" t="s">
        <v>9</v>
      </c>
      <c r="D31" s="40" t="s">
        <v>10</v>
      </c>
      <c r="E31" s="41" t="s">
        <v>11</v>
      </c>
    </row>
    <row r="32" spans="1:9" ht="15" thickBot="1" x14ac:dyDescent="0.4">
      <c r="A32" s="54" t="s">
        <v>12</v>
      </c>
      <c r="B32" s="67">
        <f>VALUE(IF(OR(B23&gt;=15,B23=0),1,0))</f>
        <v>1</v>
      </c>
      <c r="C32" s="67">
        <f t="shared" ref="C32:D32" si="1">VALUE(IF(OR(C23&gt;=15,C23=0),1,0))</f>
        <v>1</v>
      </c>
      <c r="D32" s="67">
        <f t="shared" si="1"/>
        <v>1</v>
      </c>
      <c r="E32" s="68">
        <f>VALUE(IF(OR(E23&gt;=15,E23=0),1,0))</f>
        <v>1</v>
      </c>
    </row>
    <row r="33" spans="1:5" ht="15.5" thickTop="1" thickBot="1" x14ac:dyDescent="0.4">
      <c r="A33" s="54"/>
      <c r="B33" s="67"/>
      <c r="C33" s="42"/>
      <c r="D33" s="42"/>
      <c r="E33" s="42"/>
    </row>
    <row r="34" spans="1:5" ht="15.5" thickTop="1" thickBot="1" x14ac:dyDescent="0.4">
      <c r="A34" s="69" t="s">
        <v>33</v>
      </c>
      <c r="B34" s="70">
        <f>MOD(G24,3)</f>
        <v>0</v>
      </c>
    </row>
    <row r="35" spans="1:5" ht="15" thickTop="1" x14ac:dyDescent="0.35"/>
    <row r="36" spans="1:5" x14ac:dyDescent="0.35">
      <c r="A36" s="46" t="s">
        <v>22</v>
      </c>
      <c r="B36" s="46">
        <f>SUM(B29:E29)</f>
        <v>117913260</v>
      </c>
    </row>
  </sheetData>
  <mergeCells count="2">
    <mergeCell ref="A2:F2"/>
    <mergeCell ref="A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Case Business</vt:lpstr>
      <vt:lpstr>Question 1.1</vt:lpstr>
      <vt:lpstr>Question 1.2</vt:lpstr>
      <vt:lpstr>Question 1.3</vt:lpstr>
      <vt:lpstr>Question 1.4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Nguyen Minh</dc:creator>
  <cp:lastModifiedBy>Trần Quang Vinh</cp:lastModifiedBy>
  <dcterms:created xsi:type="dcterms:W3CDTF">2021-09-04T14:42:18Z</dcterms:created>
  <dcterms:modified xsi:type="dcterms:W3CDTF">2025-04-14T13:41:20Z</dcterms:modified>
</cp:coreProperties>
</file>